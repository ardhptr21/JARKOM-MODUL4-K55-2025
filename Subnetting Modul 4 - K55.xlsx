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" sheetId="1" r:id="rId4"/>
    <sheet state="visible" name="Pembagian IP - VLSM" sheetId="2" r:id="rId5"/>
    <sheet state="visible" name="Penggabungan - CIDR" sheetId="3" r:id="rId6"/>
    <sheet state="visible" name="Pembagian IP - CIDR" sheetId="4" r:id="rId7"/>
  </sheets>
  <definedNames>
    <definedName hidden="1" localSheetId="1" name="_xlnm._FilterDatabase">'Pembagian IP - VLSM'!$A$1:$G$24</definedName>
  </definedNames>
  <calcPr/>
</workbook>
</file>

<file path=xl/sharedStrings.xml><?xml version="1.0" encoding="utf-8"?>
<sst xmlns="http://schemas.openxmlformats.org/spreadsheetml/2006/main" count="588" uniqueCount="265">
  <si>
    <t>Nama Subnet</t>
  </si>
  <si>
    <t>Rute</t>
  </si>
  <si>
    <t>Jumlah IP</t>
  </si>
  <si>
    <t>Netmask</t>
  </si>
  <si>
    <t>Shadow</t>
  </si>
  <si>
    <t>A1</t>
  </si>
  <si>
    <t>Amonsul &gt; Formost</t>
  </si>
  <si>
    <t>/30</t>
  </si>
  <si>
    <t>A2</t>
  </si>
  <si>
    <t>Formost &gt; Switch &gt; Valindor, Valmar</t>
  </si>
  <si>
    <t>/29</t>
  </si>
  <si>
    <t>A3</t>
  </si>
  <si>
    <t>Valindor &gt; Switch &gt; Shadow, Anarion, Lindon</t>
  </si>
  <si>
    <t>/23</t>
  </si>
  <si>
    <t>A4</t>
  </si>
  <si>
    <t>Valmar &gt; Switch &gt; Doriath, Arnor</t>
  </si>
  <si>
    <t>/27</t>
  </si>
  <si>
    <t>A5</t>
  </si>
  <si>
    <t>Valmar &gt; Switch &gt; Imrahil, Utumno, Gwaith</t>
  </si>
  <si>
    <t>/26</t>
  </si>
  <si>
    <t>A6</t>
  </si>
  <si>
    <t>Amonsul &gt; Minastir</t>
  </si>
  <si>
    <t>A7</t>
  </si>
  <si>
    <t>Minastir &gt; Amroth</t>
  </si>
  <si>
    <t>A8</t>
  </si>
  <si>
    <t>Minastir &gt; Anor</t>
  </si>
  <si>
    <t>A9</t>
  </si>
  <si>
    <t>Amroth &gt; Switch &gt; Morgoth, Throne</t>
  </si>
  <si>
    <t>A10</t>
  </si>
  <si>
    <t>Morgoth &gt; Switch &gt; Erendis, Elrond</t>
  </si>
  <si>
    <t>A11</t>
  </si>
  <si>
    <t>Throne &gt; Erebor</t>
  </si>
  <si>
    <t>A12</t>
  </si>
  <si>
    <t>Anor &gt; Switch &gt; Beacon, Silmaris</t>
  </si>
  <si>
    <t>/22</t>
  </si>
  <si>
    <t>A13</t>
  </si>
  <si>
    <t>Amonsul &gt; Eregion</t>
  </si>
  <si>
    <t>A14</t>
  </si>
  <si>
    <t>Eregion &gt; Switch &gt; Mirkwood, Morgul</t>
  </si>
  <si>
    <t>/25</t>
  </si>
  <si>
    <t>A15</t>
  </si>
  <si>
    <t>Eregion &gt; Numenor</t>
  </si>
  <si>
    <t>A16</t>
  </si>
  <si>
    <t>Numenor &gt; Guldur</t>
  </si>
  <si>
    <t>A17</t>
  </si>
  <si>
    <t>Numenor &gt; Mondor</t>
  </si>
  <si>
    <t>A18</t>
  </si>
  <si>
    <t>Numenor &gt; Switch &gt; Arthedian, Mirdain</t>
  </si>
  <si>
    <t>A19</t>
  </si>
  <si>
    <t>Guldur &gt; Switch &gt; Palantir, Edhil</t>
  </si>
  <si>
    <t>A20</t>
  </si>
  <si>
    <t>Guldur &gt; Switch &gt; IronCrown, Grond, Hobbiton</t>
  </si>
  <si>
    <t>/28</t>
  </si>
  <si>
    <t>A21</t>
  </si>
  <si>
    <t>Mondor &gt; Erain</t>
  </si>
  <si>
    <t>A22</t>
  </si>
  <si>
    <t>Erain &gt; Switch &gt; Balrog, Gothmog, Thranduil</t>
  </si>
  <si>
    <t>A23</t>
  </si>
  <si>
    <t>Erain &gt; Switch &gt; Melkor, Khazad</t>
  </si>
  <si>
    <t>Total</t>
  </si>
  <si>
    <t>/20</t>
  </si>
  <si>
    <t>Used</t>
  </si>
  <si>
    <t>Available</t>
  </si>
  <si>
    <t>Format</t>
  </si>
  <si>
    <t>Router &gt; Node</t>
  </si>
  <si>
    <t>Router &gt; Switch &gt; Node &gt; Switch &gt; Node</t>
  </si>
  <si>
    <t>Router &gt; Switch &gt; Node</t>
  </si>
  <si>
    <t>Router &gt; Router</t>
  </si>
  <si>
    <t>dst</t>
  </si>
  <si>
    <t>Sort</t>
  </si>
  <si>
    <t>Subnet</t>
  </si>
  <si>
    <t>Network ID</t>
  </si>
  <si>
    <t>CIDR</t>
  </si>
  <si>
    <t>Broadcast</t>
  </si>
  <si>
    <t>Range IP</t>
  </si>
  <si>
    <t>10.91.15.200</t>
  </si>
  <si>
    <t>255.255.255.252</t>
  </si>
  <si>
    <t>10.91.15.203</t>
  </si>
  <si>
    <t>10.91.15.201 – 10.91.15.202</t>
  </si>
  <si>
    <t>✅</t>
  </si>
  <si>
    <t>10.91.15.176</t>
  </si>
  <si>
    <t>255.255.255.248</t>
  </si>
  <si>
    <t>10.91.15.183</t>
  </si>
  <si>
    <t>10.91.15.177 – 10.91.15.182</t>
  </si>
  <si>
    <t>10.91.8.0</t>
  </si>
  <si>
    <t>255.255.254.0</t>
  </si>
  <si>
    <t>10.91.9.255</t>
  </si>
  <si>
    <t>10.91.8.1 – 10.91.9.254</t>
  </si>
  <si>
    <t>10.91.15.128</t>
  </si>
  <si>
    <t>255.255.255.224</t>
  </si>
  <si>
    <t>10.91.15.159</t>
  </si>
  <si>
    <t>10.91.15.129 – 10.91.15.158</t>
  </si>
  <si>
    <t>10.91.15.0</t>
  </si>
  <si>
    <t>255.255.255.192</t>
  </si>
  <si>
    <t>10.91.15.63</t>
  </si>
  <si>
    <t>10.91.15.1 – 10.91.15.62</t>
  </si>
  <si>
    <t>10.91.15.204</t>
  </si>
  <si>
    <t>10.91.15.207</t>
  </si>
  <si>
    <t>10.91.15.205 – 10.91.15.206</t>
  </si>
  <si>
    <t>10.91.15.208</t>
  </si>
  <si>
    <t>10.91.15.211</t>
  </si>
  <si>
    <t>10.91.15.209 – 10.91.15.210</t>
  </si>
  <si>
    <t>10.91.15.212</t>
  </si>
  <si>
    <t>10.91.15.215</t>
  </si>
  <si>
    <t>10.91.15.213 – 10.91.15.214</t>
  </si>
  <si>
    <t>10.91.15.184</t>
  </si>
  <si>
    <t>10.91.15.191</t>
  </si>
  <si>
    <t>10.91.15.185 – 10.91.15.190</t>
  </si>
  <si>
    <t>10.91.15.64</t>
  </si>
  <si>
    <t>10.91.15.127</t>
  </si>
  <si>
    <t>10.91.15.65 – 10.91.15.126</t>
  </si>
  <si>
    <t>10.91.15.192</t>
  </si>
  <si>
    <t>10.91.15.199</t>
  </si>
  <si>
    <t>10.91.15.193 – 10.91.15.198</t>
  </si>
  <si>
    <t>10.91.0.0</t>
  </si>
  <si>
    <t>255.255.252.0</t>
  </si>
  <si>
    <t>10.91.3.255</t>
  </si>
  <si>
    <t>10.91.0.1 - 10.91.3.254</t>
  </si>
  <si>
    <t>10.91.15.216</t>
  </si>
  <si>
    <t>10.91.15.219</t>
  </si>
  <si>
    <t>10.91.15.217 – 10.91.15.218</t>
  </si>
  <si>
    <t>10.91.14.0</t>
  </si>
  <si>
    <t>255.255.255.128</t>
  </si>
  <si>
    <t>10.91.14.127</t>
  </si>
  <si>
    <t>10.91.14.1 – 10.91.14.126</t>
  </si>
  <si>
    <t>10.91.15.220</t>
  </si>
  <si>
    <t>10.91.15.223</t>
  </si>
  <si>
    <t>10.91.15.221 – 10.91.15.222</t>
  </si>
  <si>
    <t>10.91.15.224</t>
  </si>
  <si>
    <t>10.91.15.227</t>
  </si>
  <si>
    <t>10.91.15.225 – 10.91.15.226</t>
  </si>
  <si>
    <t>10.91.15.228</t>
  </si>
  <si>
    <t>10.91.15.231</t>
  </si>
  <si>
    <t>10.91.15.229 – 10.91.15.230</t>
  </si>
  <si>
    <t>10.91.4.0</t>
  </si>
  <si>
    <t>10.91.7.255</t>
  </si>
  <si>
    <t>10.91.4.1 - 10.91.7.254</t>
  </si>
  <si>
    <t>10.91.14.128</t>
  </si>
  <si>
    <t>10.91.14.255</t>
  </si>
  <si>
    <t>10.91.14.129 – 10.91.14.254</t>
  </si>
  <si>
    <t>10.91.15.160</t>
  </si>
  <si>
    <t>255.255.255.240</t>
  </si>
  <si>
    <t>10.91.15.175</t>
  </si>
  <si>
    <t>10.91.15.161 – 10.91.15.174</t>
  </si>
  <si>
    <t>10.91.15.232</t>
  </si>
  <si>
    <t>10.91.15.235</t>
  </si>
  <si>
    <t>10.91.15.233 – 10.91.15.234</t>
  </si>
  <si>
    <t>10.91.10.0</t>
  </si>
  <si>
    <t>10.91.11.255</t>
  </si>
  <si>
    <t>10.91.10.1 – 10.91.11.254</t>
  </si>
  <si>
    <t>10.91.12.0</t>
  </si>
  <si>
    <t>10.91.13.255</t>
  </si>
  <si>
    <t>10.91.12.1 – 10.91.13.254</t>
  </si>
  <si>
    <t>Penggabungan</t>
  </si>
  <si>
    <t>Tahap 1 | Sayap bawah</t>
  </si>
  <si>
    <t>Gabungan dari</t>
  </si>
  <si>
    <t>Netmask Akhir</t>
  </si>
  <si>
    <t>B1</t>
  </si>
  <si>
    <t>B2</t>
  </si>
  <si>
    <t>/24</t>
  </si>
  <si>
    <t>B3</t>
  </si>
  <si>
    <t>/21</t>
  </si>
  <si>
    <t>B4</t>
  </si>
  <si>
    <t>B5</t>
  </si>
  <si>
    <t>B6</t>
  </si>
  <si>
    <t>B7</t>
  </si>
  <si>
    <t>B8</t>
  </si>
  <si>
    <t>B9</t>
  </si>
  <si>
    <t>B10</t>
  </si>
  <si>
    <t>Tahap 2 | Sayap kanan</t>
  </si>
  <si>
    <t>C1</t>
  </si>
  <si>
    <t>C2</t>
  </si>
  <si>
    <t>C3</t>
  </si>
  <si>
    <t>C4</t>
  </si>
  <si>
    <t>C5</t>
  </si>
  <si>
    <t>C6</t>
  </si>
  <si>
    <t>Tahap 3 | Sayap kiri</t>
  </si>
  <si>
    <t>D1</t>
  </si>
  <si>
    <t>D2</t>
  </si>
  <si>
    <t>D3</t>
  </si>
  <si>
    <t>D4</t>
  </si>
  <si>
    <t>Tahap 3 | Gabungan ketiga sayap</t>
  </si>
  <si>
    <t>E1</t>
  </si>
  <si>
    <t>/19</t>
  </si>
  <si>
    <t>E2</t>
  </si>
  <si>
    <t>Sayap</t>
  </si>
  <si>
    <t>Kebutuhan Host</t>
  </si>
  <si>
    <t>Range IP Usable</t>
  </si>
  <si>
    <t>Catatan</t>
  </si>
  <si>
    <t>BAWAH</t>
  </si>
  <si>
    <t>---</t>
  </si>
  <si>
    <t>(Blok:</t>
  </si>
  <si>
    <t>10.91.0.0/20)</t>
  </si>
  <si>
    <t>10.91.5.255</t>
  </si>
  <si>
    <t>10.91.4.1 - 10.91.5.254</t>
  </si>
  <si>
    <t>Buddy Pair</t>
  </si>
  <si>
    <t>10.91.6.0</t>
  </si>
  <si>
    <t>10.91.6.1 - 10.91.7.254</t>
  </si>
  <si>
    <t>dg A23</t>
  </si>
  <si>
    <t>10.91.8.127</t>
  </si>
  <si>
    <t>10.91.8.1 - 10.91.8.126</t>
  </si>
  <si>
    <t>10.91.8.128</t>
  </si>
  <si>
    <t>10.91.8.255</t>
  </si>
  <si>
    <t>10.91.8.129 - 10.91.8.254</t>
  </si>
  <si>
    <t>dg A14</t>
  </si>
  <si>
    <t>10.91.9.0</t>
  </si>
  <si>
    <t>10.91.9.15</t>
  </si>
  <si>
    <t>10.91.9.1 - 10.91.9.14</t>
  </si>
  <si>
    <t>10.91.9.16</t>
  </si>
  <si>
    <t>10.91.9.19</t>
  </si>
  <si>
    <t>10.91.9.17 - 10.91.9.18</t>
  </si>
  <si>
    <t>WAN</t>
  </si>
  <si>
    <t>10.91.9.20</t>
  </si>
  <si>
    <t>10.91.9.23</t>
  </si>
  <si>
    <t>10.91.9.21 - 10.91.9.22</t>
  </si>
  <si>
    <t>10.91.9.24</t>
  </si>
  <si>
    <t>10.91.9.27</t>
  </si>
  <si>
    <t>10.91.9.25 - 10.91.9.26</t>
  </si>
  <si>
    <t>10.91.9.28</t>
  </si>
  <si>
    <t>10.91.9.31</t>
  </si>
  <si>
    <t>10.91.9.29 - 10.91.9.30</t>
  </si>
  <si>
    <t>10.91.9.32</t>
  </si>
  <si>
    <t>10.91.9.35</t>
  </si>
  <si>
    <t>10.91.9.33 - 10.91.9.34</t>
  </si>
  <si>
    <t>KANAN</t>
  </si>
  <si>
    <t>10.91.16.0</t>
  </si>
  <si>
    <t>10.91.19.255</t>
  </si>
  <si>
    <t>10.91.16.1 - 10.91.19.254</t>
  </si>
  <si>
    <t>10.91.20.0</t>
  </si>
  <si>
    <t>10.91.20.63</t>
  </si>
  <si>
    <t>10.91.20.1 - 10.91.20.62</t>
  </si>
  <si>
    <t>10.91.16.0/21)</t>
  </si>
  <si>
    <t>10.91.20.64</t>
  </si>
  <si>
    <t>10.91.20.71</t>
  </si>
  <si>
    <t>10.91.20.65 - 10.91.20.70</t>
  </si>
  <si>
    <t>10.91.20.72</t>
  </si>
  <si>
    <t>10.91.20.79</t>
  </si>
  <si>
    <t>10.91.20.73 - 10.91.20.78</t>
  </si>
  <si>
    <t>dg A9</t>
  </si>
  <si>
    <t>10.91.20.80</t>
  </si>
  <si>
    <t>10.91.20.83</t>
  </si>
  <si>
    <t>10.91.20.81 - 10.91.20.82</t>
  </si>
  <si>
    <t>10.91.20.84</t>
  </si>
  <si>
    <t>10.91.20.87</t>
  </si>
  <si>
    <t>10.91.20.85 - 10.91.20.86</t>
  </si>
  <si>
    <t>10.91.20.88</t>
  </si>
  <si>
    <t>10.91.20.91</t>
  </si>
  <si>
    <t>10.91.20.89 - 10.91.20.90</t>
  </si>
  <si>
    <t>KIRI</t>
  </si>
  <si>
    <t>10.91.24.0</t>
  </si>
  <si>
    <t>10.91.25.255</t>
  </si>
  <si>
    <t>10.91.24.1 - 10.91.25.254</t>
  </si>
  <si>
    <t>10.91.26.0</t>
  </si>
  <si>
    <t>10.91.26.63</t>
  </si>
  <si>
    <t>10.91.26.1 - 10.91.26.62</t>
  </si>
  <si>
    <t>10.91.24.0/22)</t>
  </si>
  <si>
    <t>10.91.26.64</t>
  </si>
  <si>
    <t>10.91.26.95</t>
  </si>
  <si>
    <t>10.91.26.65 - 10.91.26.94</t>
  </si>
  <si>
    <t>10.91.26.96</t>
  </si>
  <si>
    <t>10.91.26.103</t>
  </si>
  <si>
    <t>10.91.26.97 - 10.91.26.102</t>
  </si>
  <si>
    <t>10.91.26.104</t>
  </si>
  <si>
    <t>10.91.26.107</t>
  </si>
  <si>
    <t>10.91.26.105 - 10.91.26.106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</si>
</sst>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FFFFFF"/>
      <name val="Poppins"/>
    </font>
    <font>
      <sz val="11.0"/>
      <color rgb="FFFFFFFF"/>
      <name val="Arial"/>
      <scheme val="minor"/>
    </font>
    <font>
      <color theme="1"/>
      <name val="Poppins"/>
    </font>
    <font>
      <color theme="1"/>
      <name val="Arial"/>
      <scheme val="minor"/>
    </font>
    <font/>
    <font>
      <b/>
      <color theme="1"/>
      <name val="Poppins"/>
    </font>
    <font>
      <b/>
      <color rgb="FF1B1C1D"/>
      <name val="&quot;Google Sans Text&quot;"/>
    </font>
    <font>
      <color rgb="FF1B1C1D"/>
      <name val="&quot;Google Sans Text&quot;"/>
    </font>
    <font>
      <b/>
      <color rgb="FF444746"/>
      <name val="&quot;Google Sans Text&quot;"/>
    </font>
    <font>
      <color rgb="FF444746"/>
      <name val="&quot;Google Sans Text&quot;"/>
    </font>
  </fonts>
  <fills count="11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readingOrder="0" vertical="center"/>
    </xf>
    <xf borderId="2" fillId="4" fontId="3" numFmtId="0" xfId="0" applyAlignment="1" applyBorder="1" applyFont="1">
      <alignment horizontal="center" readingOrder="0" vertical="center"/>
    </xf>
    <xf borderId="3" fillId="4" fontId="5" numFmtId="0" xfId="0" applyBorder="1" applyFont="1"/>
    <xf borderId="1" fillId="4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5" fontId="1" numFmtId="0" xfId="0" applyAlignment="1" applyFill="1" applyFont="1">
      <alignment horizontal="center" readingOrder="0" vertical="center"/>
    </xf>
    <xf borderId="1" fillId="5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" fillId="3" fontId="4" numFmtId="0" xfId="0" applyAlignment="1" applyBorder="1" applyFont="1">
      <alignment readingOrder="0"/>
    </xf>
    <xf borderId="0" fillId="0" fontId="4" numFmtId="0" xfId="0" applyAlignment="1" applyFont="1">
      <alignment horizontal="center" readingOrder="0" vertical="center"/>
    </xf>
    <xf borderId="1" fillId="6" fontId="3" numFmtId="0" xfId="0" applyAlignment="1" applyBorder="1" applyFill="1" applyFont="1">
      <alignment horizontal="center" readingOrder="0" vertical="center"/>
    </xf>
    <xf borderId="1" fillId="6" fontId="4" numFmtId="0" xfId="0" applyAlignment="1" applyBorder="1" applyFont="1">
      <alignment readingOrder="0"/>
    </xf>
    <xf borderId="1" fillId="3" fontId="4" numFmtId="0" xfId="0" applyAlignment="1" applyBorder="1" applyFont="1">
      <alignment horizontal="center" readingOrder="0"/>
    </xf>
    <xf borderId="0" fillId="6" fontId="3" numFmtId="0" xfId="0" applyAlignment="1" applyFont="1">
      <alignment horizontal="center" readingOrder="0" vertical="center"/>
    </xf>
    <xf borderId="1" fillId="6" fontId="4" numFmtId="0" xfId="0" applyAlignment="1" applyBorder="1" applyFont="1">
      <alignment horizontal="center" readingOrder="0"/>
    </xf>
    <xf borderId="0" fillId="0" fontId="6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Font="1"/>
    <xf borderId="4" fillId="7" fontId="6" numFmtId="0" xfId="0" applyAlignment="1" applyBorder="1" applyFill="1" applyFont="1">
      <alignment horizontal="center" readingOrder="0" vertical="center"/>
    </xf>
    <xf borderId="2" fillId="7" fontId="6" numFmtId="0" xfId="0" applyAlignment="1" applyBorder="1" applyFont="1">
      <alignment horizontal="center" readingOrder="0" vertical="center"/>
    </xf>
    <xf borderId="5" fillId="0" fontId="5" numFmtId="0" xfId="0" applyBorder="1" applyFont="1"/>
    <xf borderId="3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1" fillId="7" fontId="6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8" fontId="3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 vertical="center"/>
    </xf>
    <xf borderId="4" fillId="8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8" fillId="3" fontId="3" numFmtId="0" xfId="0" applyAlignment="1" applyBorder="1" applyFont="1">
      <alignment horizontal="center" readingOrder="0" vertical="center"/>
    </xf>
    <xf borderId="1" fillId="9" fontId="1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horizontal="center" readingOrder="0"/>
    </xf>
    <xf borderId="1" fillId="10" fontId="8" numFmtId="0" xfId="0" applyAlignment="1" applyBorder="1" applyFill="1" applyFont="1">
      <alignment readingOrder="0"/>
    </xf>
    <xf borderId="1" fillId="10" fontId="7" numFmtId="0" xfId="0" applyAlignment="1" applyBorder="1" applyFont="1">
      <alignment horizontal="center" readingOrder="0"/>
    </xf>
    <xf borderId="1" fillId="10" fontId="8" numFmtId="0" xfId="0" applyAlignment="1" applyBorder="1" applyFont="1">
      <alignment horizontal="center" readingOrder="0"/>
    </xf>
    <xf borderId="1" fillId="10" fontId="9" numFmtId="0" xfId="0" applyAlignment="1" applyBorder="1" applyFont="1">
      <alignment horizontal="center" readingOrder="0"/>
    </xf>
    <xf borderId="1" fillId="10" fontId="10" numFmtId="0" xfId="0" applyAlignment="1" applyBorder="1" applyFont="1">
      <alignment horizontal="center" readingOrder="0"/>
    </xf>
    <xf borderId="1" fillId="10" fontId="8" numFmtId="0" xfId="0" applyAlignment="1" applyBorder="1" applyFont="1">
      <alignment horizontal="center"/>
    </xf>
    <xf borderId="1" fillId="0" fontId="10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10" fontId="8" numFmtId="0" xfId="0" applyBorder="1" applyFont="1"/>
    <xf borderId="1" fillId="0" fontId="8" numFmtId="0" xfId="0" applyBorder="1" applyFont="1"/>
    <xf borderId="1" fillId="10" fontId="8" numFmtId="0" xfId="0" applyBorder="1" applyFont="1"/>
    <xf borderId="1" fillId="0" fontId="8" numFmtId="0" xfId="0" applyBorder="1" applyFont="1"/>
    <xf borderId="1" fillId="0" fontId="8" numFmtId="0" xfId="0" applyAlignment="1" applyBorder="1" applyFont="1">
      <alignment horizontal="center"/>
    </xf>
    <xf borderId="1" fillId="0" fontId="8" numFmtId="0" xfId="0" applyAlignment="1" applyBorder="1" applyFont="1">
      <alignment readingOrder="0"/>
    </xf>
    <xf borderId="1" fillId="10" fontId="7" numFmtId="0" xfId="0" applyAlignment="1" applyBorder="1" applyFont="1">
      <alignment readingOrder="0"/>
    </xf>
    <xf borderId="1" fillId="10" fontId="10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65.25"/>
    <col customWidth="1" min="3" max="3" width="12.88"/>
    <col customWidth="1" min="4" max="4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5</v>
      </c>
      <c r="B2" s="4" t="s">
        <v>6</v>
      </c>
      <c r="C2" s="3">
        <v>2.0</v>
      </c>
      <c r="D2" s="3" t="s">
        <v>7</v>
      </c>
      <c r="E2" s="3">
        <v>2.0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6" t="s">
        <v>8</v>
      </c>
      <c r="B3" s="7" t="s">
        <v>9</v>
      </c>
      <c r="C3" s="6">
        <v>3.0</v>
      </c>
      <c r="D3" s="6" t="s">
        <v>10</v>
      </c>
      <c r="E3" s="6">
        <v>6.0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3" t="s">
        <v>11</v>
      </c>
      <c r="B4" s="4" t="s">
        <v>12</v>
      </c>
      <c r="C4" s="3">
        <v>299.0</v>
      </c>
      <c r="D4" s="3" t="s">
        <v>13</v>
      </c>
      <c r="E4" s="3">
        <v>510.0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6" t="s">
        <v>14</v>
      </c>
      <c r="B5" s="7" t="s">
        <v>15</v>
      </c>
      <c r="C5" s="6">
        <v>28.0</v>
      </c>
      <c r="D5" s="6" t="s">
        <v>16</v>
      </c>
      <c r="E5" s="6">
        <v>30.0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>
      <c r="A6" s="3" t="s">
        <v>17</v>
      </c>
      <c r="B6" s="4" t="s">
        <v>18</v>
      </c>
      <c r="C6" s="3">
        <v>34.0</v>
      </c>
      <c r="D6" s="3" t="s">
        <v>19</v>
      </c>
      <c r="E6" s="3">
        <v>62.0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6" t="s">
        <v>20</v>
      </c>
      <c r="B7" s="7" t="s">
        <v>21</v>
      </c>
      <c r="C7" s="6">
        <v>2.0</v>
      </c>
      <c r="D7" s="6" t="s">
        <v>7</v>
      </c>
      <c r="E7" s="6">
        <v>2.0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3" t="s">
        <v>22</v>
      </c>
      <c r="B8" s="4" t="s">
        <v>23</v>
      </c>
      <c r="C8" s="3">
        <v>2.0</v>
      </c>
      <c r="D8" s="3" t="s">
        <v>7</v>
      </c>
      <c r="E8" s="3">
        <v>2.0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6" t="s">
        <v>24</v>
      </c>
      <c r="B9" s="7" t="s">
        <v>25</v>
      </c>
      <c r="C9" s="6">
        <v>2.0</v>
      </c>
      <c r="D9" s="6" t="s">
        <v>7</v>
      </c>
      <c r="E9" s="6">
        <v>2.0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3" t="s">
        <v>26</v>
      </c>
      <c r="B10" s="4" t="s">
        <v>27</v>
      </c>
      <c r="C10" s="3">
        <v>3.0</v>
      </c>
      <c r="D10" s="3" t="s">
        <v>10</v>
      </c>
      <c r="E10" s="3">
        <v>6.0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6" t="s">
        <v>28</v>
      </c>
      <c r="B11" s="7" t="s">
        <v>29</v>
      </c>
      <c r="C11" s="6">
        <v>62.0</v>
      </c>
      <c r="D11" s="6" t="s">
        <v>19</v>
      </c>
      <c r="E11" s="6">
        <v>62.0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3" t="s">
        <v>30</v>
      </c>
      <c r="B12" s="4" t="s">
        <v>31</v>
      </c>
      <c r="C12" s="3">
        <v>3.0</v>
      </c>
      <c r="D12" s="3" t="s">
        <v>10</v>
      </c>
      <c r="E12" s="3">
        <v>6.0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6" t="s">
        <v>32</v>
      </c>
      <c r="B13" s="7" t="s">
        <v>33</v>
      </c>
      <c r="C13" s="6">
        <v>661.0</v>
      </c>
      <c r="D13" s="6" t="s">
        <v>34</v>
      </c>
      <c r="E13" s="6">
        <v>1022.0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3" t="s">
        <v>35</v>
      </c>
      <c r="B14" s="4" t="s">
        <v>36</v>
      </c>
      <c r="C14" s="3">
        <v>2.0</v>
      </c>
      <c r="D14" s="3" t="s">
        <v>7</v>
      </c>
      <c r="E14" s="3">
        <v>2.0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6" t="s">
        <v>37</v>
      </c>
      <c r="B15" s="7" t="s">
        <v>38</v>
      </c>
      <c r="C15" s="6">
        <v>126.0</v>
      </c>
      <c r="D15" s="6" t="s">
        <v>39</v>
      </c>
      <c r="E15" s="6">
        <v>126.0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3" t="s">
        <v>40</v>
      </c>
      <c r="B16" s="4" t="s">
        <v>41</v>
      </c>
      <c r="C16" s="3">
        <v>2.0</v>
      </c>
      <c r="D16" s="3" t="s">
        <v>7</v>
      </c>
      <c r="E16" s="3">
        <v>2.0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6" t="s">
        <v>42</v>
      </c>
      <c r="B17" s="7" t="s">
        <v>43</v>
      </c>
      <c r="C17" s="6">
        <v>2.0</v>
      </c>
      <c r="D17" s="6" t="s">
        <v>7</v>
      </c>
      <c r="E17" s="6">
        <v>2.0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3" t="s">
        <v>44</v>
      </c>
      <c r="B18" s="4" t="s">
        <v>45</v>
      </c>
      <c r="C18" s="3">
        <v>2.0</v>
      </c>
      <c r="D18" s="3" t="s">
        <v>7</v>
      </c>
      <c r="E18" s="3">
        <v>2.0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6" t="s">
        <v>46</v>
      </c>
      <c r="B19" s="7" t="s">
        <v>47</v>
      </c>
      <c r="C19" s="6">
        <v>875.0</v>
      </c>
      <c r="D19" s="6" t="s">
        <v>34</v>
      </c>
      <c r="E19" s="6">
        <v>1022.0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3" t="s">
        <v>48</v>
      </c>
      <c r="B20" s="4" t="s">
        <v>49</v>
      </c>
      <c r="C20" s="3">
        <v>120.0</v>
      </c>
      <c r="D20" s="3" t="s">
        <v>39</v>
      </c>
      <c r="E20" s="3">
        <v>126.0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6" t="s">
        <v>50</v>
      </c>
      <c r="B21" s="7" t="s">
        <v>51</v>
      </c>
      <c r="C21" s="6">
        <v>14.0</v>
      </c>
      <c r="D21" s="6" t="s">
        <v>52</v>
      </c>
      <c r="E21" s="6">
        <v>14.0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>
      <c r="A22" s="3" t="s">
        <v>53</v>
      </c>
      <c r="B22" s="4" t="s">
        <v>54</v>
      </c>
      <c r="C22" s="3">
        <v>2.0</v>
      </c>
      <c r="D22" s="3" t="s">
        <v>7</v>
      </c>
      <c r="E22" s="3">
        <v>2.0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6" t="s">
        <v>55</v>
      </c>
      <c r="B23" s="7" t="s">
        <v>56</v>
      </c>
      <c r="C23" s="6">
        <v>470.0</v>
      </c>
      <c r="D23" s="6" t="s">
        <v>13</v>
      </c>
      <c r="E23" s="6">
        <v>510.0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3" t="s">
        <v>57</v>
      </c>
      <c r="B24" s="4" t="s">
        <v>58</v>
      </c>
      <c r="C24" s="3">
        <v>503.0</v>
      </c>
      <c r="D24" s="3" t="s">
        <v>13</v>
      </c>
      <c r="E24" s="3">
        <v>510.0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8" t="s">
        <v>59</v>
      </c>
      <c r="B25" s="9"/>
      <c r="C25" s="10">
        <f>SUM(C2:C24)</f>
        <v>3219</v>
      </c>
      <c r="D25" s="6" t="s">
        <v>60</v>
      </c>
      <c r="E25" s="11">
        <f>SUM(E2:E24)</f>
        <v>4030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A26" s="12"/>
      <c r="B26" s="12"/>
      <c r="C26" s="13" t="s">
        <v>61</v>
      </c>
      <c r="D26" s="12"/>
      <c r="E26" s="13" t="s">
        <v>62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14" t="s">
        <v>63</v>
      </c>
      <c r="B27" s="15" t="s">
        <v>64</v>
      </c>
      <c r="C27" s="16"/>
      <c r="D27" s="1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17"/>
      <c r="B28" s="15" t="s">
        <v>65</v>
      </c>
      <c r="C28" s="16"/>
      <c r="D28" s="1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17"/>
      <c r="B29" s="15" t="s">
        <v>66</v>
      </c>
      <c r="C29" s="16"/>
      <c r="D29" s="1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A30" s="17"/>
      <c r="B30" s="15" t="s">
        <v>67</v>
      </c>
      <c r="C30" s="16"/>
      <c r="D30" s="1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A31" s="17"/>
      <c r="B31" s="15" t="s">
        <v>68</v>
      </c>
      <c r="C31" s="16"/>
      <c r="D31" s="1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A32" s="16"/>
      <c r="B32" s="5"/>
      <c r="C32" s="16"/>
      <c r="D32" s="1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A33" s="16"/>
      <c r="B33" s="5"/>
      <c r="C33" s="16"/>
      <c r="D33" s="1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A34" s="16"/>
      <c r="B34" s="5"/>
      <c r="C34" s="16"/>
      <c r="D34" s="1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A35" s="16"/>
      <c r="B35" s="5"/>
      <c r="C35" s="16"/>
      <c r="D35" s="1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A36" s="16"/>
      <c r="B36" s="5"/>
      <c r="C36" s="16"/>
      <c r="D36" s="1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16"/>
      <c r="B37" s="5"/>
      <c r="C37" s="16"/>
      <c r="D37" s="1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A38" s="16"/>
      <c r="B38" s="5"/>
      <c r="C38" s="16"/>
      <c r="D38" s="1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16"/>
      <c r="B39" s="5"/>
      <c r="C39" s="16"/>
      <c r="D39" s="1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A40" s="16"/>
      <c r="B40" s="5"/>
      <c r="C40" s="16"/>
      <c r="D40" s="1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16"/>
      <c r="B41" s="5"/>
      <c r="C41" s="16"/>
      <c r="D41" s="1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16"/>
      <c r="B42" s="5"/>
      <c r="C42" s="16"/>
      <c r="D42" s="1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16"/>
      <c r="B43" s="5"/>
      <c r="C43" s="16"/>
      <c r="D43" s="1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A44" s="16"/>
      <c r="B44" s="5"/>
      <c r="C44" s="16"/>
      <c r="D44" s="1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16"/>
      <c r="B45" s="5"/>
      <c r="C45" s="16"/>
      <c r="D45" s="1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A46" s="16"/>
      <c r="B46" s="5"/>
      <c r="C46" s="16"/>
      <c r="D46" s="1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16"/>
      <c r="B47" s="5"/>
      <c r="C47" s="16"/>
      <c r="D47" s="1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A48" s="16"/>
      <c r="B48" s="5"/>
      <c r="C48" s="16"/>
      <c r="D48" s="1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16"/>
      <c r="B49" s="5"/>
      <c r="C49" s="16"/>
      <c r="D49" s="1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A50" s="16"/>
      <c r="B50" s="5"/>
      <c r="C50" s="16"/>
      <c r="D50" s="1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16"/>
      <c r="B51" s="5"/>
      <c r="C51" s="16"/>
      <c r="D51" s="1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A52" s="16"/>
      <c r="B52" s="5"/>
      <c r="C52" s="16"/>
      <c r="D52" s="1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16"/>
      <c r="B53" s="5"/>
      <c r="C53" s="16"/>
      <c r="D53" s="1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16"/>
      <c r="B54" s="5"/>
      <c r="C54" s="16"/>
      <c r="D54" s="1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16"/>
      <c r="B55" s="5"/>
      <c r="C55" s="16"/>
      <c r="D55" s="1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16"/>
      <c r="B56" s="5"/>
      <c r="C56" s="16"/>
      <c r="D56" s="1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16"/>
      <c r="B57" s="5"/>
      <c r="C57" s="16"/>
      <c r="D57" s="1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16"/>
      <c r="B58" s="5"/>
      <c r="C58" s="16"/>
      <c r="D58" s="1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16"/>
      <c r="B59" s="5"/>
      <c r="C59" s="16"/>
      <c r="D59" s="1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16"/>
      <c r="B60" s="5"/>
      <c r="C60" s="16"/>
      <c r="D60" s="1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16"/>
      <c r="B61" s="5"/>
      <c r="C61" s="16"/>
      <c r="D61" s="1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16"/>
      <c r="B62" s="5"/>
      <c r="C62" s="16"/>
      <c r="D62" s="1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16"/>
      <c r="B63" s="5"/>
      <c r="C63" s="16"/>
      <c r="D63" s="1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16"/>
      <c r="B64" s="5"/>
      <c r="C64" s="16"/>
      <c r="D64" s="1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16"/>
      <c r="B65" s="5"/>
      <c r="C65" s="16"/>
      <c r="D65" s="1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16"/>
      <c r="B66" s="5"/>
      <c r="C66" s="16"/>
      <c r="D66" s="1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16"/>
      <c r="B67" s="5"/>
      <c r="C67" s="16"/>
      <c r="D67" s="1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16"/>
      <c r="B68" s="5"/>
      <c r="C68" s="16"/>
      <c r="D68" s="1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16"/>
      <c r="B69" s="5"/>
      <c r="C69" s="16"/>
      <c r="D69" s="1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16"/>
      <c r="B70" s="5"/>
      <c r="C70" s="16"/>
      <c r="D70" s="1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16"/>
      <c r="B71" s="5"/>
      <c r="C71" s="16"/>
      <c r="D71" s="1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16"/>
      <c r="B72" s="5"/>
      <c r="C72" s="16"/>
      <c r="D72" s="1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16"/>
      <c r="B73" s="5"/>
      <c r="C73" s="16"/>
      <c r="D73" s="1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16"/>
      <c r="B74" s="5"/>
      <c r="C74" s="16"/>
      <c r="D74" s="1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16"/>
      <c r="B75" s="5"/>
      <c r="C75" s="16"/>
      <c r="D75" s="1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16"/>
      <c r="B76" s="5"/>
      <c r="C76" s="16"/>
      <c r="D76" s="1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16"/>
      <c r="B77" s="5"/>
      <c r="C77" s="16"/>
      <c r="D77" s="1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16"/>
      <c r="B78" s="5"/>
      <c r="C78" s="16"/>
      <c r="D78" s="1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16"/>
      <c r="B79" s="5"/>
      <c r="C79" s="16"/>
      <c r="D79" s="1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16"/>
      <c r="B80" s="5"/>
      <c r="C80" s="16"/>
      <c r="D80" s="1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16"/>
      <c r="B81" s="5"/>
      <c r="C81" s="16"/>
      <c r="D81" s="1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16"/>
      <c r="B82" s="5"/>
      <c r="C82" s="16"/>
      <c r="D82" s="1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16"/>
      <c r="B83" s="5"/>
      <c r="C83" s="16"/>
      <c r="D83" s="1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16"/>
      <c r="B84" s="5"/>
      <c r="C84" s="16"/>
      <c r="D84" s="1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16"/>
      <c r="B85" s="5"/>
      <c r="C85" s="16"/>
      <c r="D85" s="1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16"/>
      <c r="B86" s="5"/>
      <c r="C86" s="16"/>
      <c r="D86" s="1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16"/>
      <c r="B87" s="5"/>
      <c r="C87" s="16"/>
      <c r="D87" s="1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16"/>
      <c r="B88" s="5"/>
      <c r="C88" s="16"/>
      <c r="D88" s="1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16"/>
      <c r="B89" s="5"/>
      <c r="C89" s="16"/>
      <c r="D89" s="1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16"/>
      <c r="B90" s="5"/>
      <c r="C90" s="16"/>
      <c r="D90" s="1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16"/>
      <c r="B91" s="5"/>
      <c r="C91" s="16"/>
      <c r="D91" s="1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16"/>
      <c r="B92" s="5"/>
      <c r="C92" s="16"/>
      <c r="D92" s="1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16"/>
      <c r="B93" s="5"/>
      <c r="C93" s="16"/>
      <c r="D93" s="1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16"/>
      <c r="B94" s="5"/>
      <c r="C94" s="16"/>
      <c r="D94" s="1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16"/>
      <c r="B95" s="5"/>
      <c r="C95" s="16"/>
      <c r="D95" s="1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16"/>
      <c r="B96" s="5"/>
      <c r="C96" s="16"/>
      <c r="D96" s="1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16"/>
      <c r="B97" s="5"/>
      <c r="C97" s="16"/>
      <c r="D97" s="1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16"/>
      <c r="B98" s="5"/>
      <c r="C98" s="16"/>
      <c r="D98" s="1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16"/>
      <c r="B99" s="5"/>
      <c r="C99" s="16"/>
      <c r="D99" s="1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16"/>
      <c r="B100" s="5"/>
      <c r="C100" s="16"/>
      <c r="D100" s="1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16"/>
      <c r="B101" s="5"/>
      <c r="C101" s="16"/>
      <c r="D101" s="1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16"/>
      <c r="B102" s="5"/>
      <c r="C102" s="16"/>
      <c r="D102" s="1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16"/>
      <c r="B103" s="5"/>
      <c r="C103" s="16"/>
      <c r="D103" s="1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16"/>
      <c r="B104" s="5"/>
      <c r="C104" s="16"/>
      <c r="D104" s="1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16"/>
      <c r="B105" s="5"/>
      <c r="C105" s="16"/>
      <c r="D105" s="1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16"/>
      <c r="B106" s="5"/>
      <c r="C106" s="16"/>
      <c r="D106" s="1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16"/>
      <c r="B107" s="5"/>
      <c r="C107" s="16"/>
      <c r="D107" s="1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16"/>
      <c r="B108" s="5"/>
      <c r="C108" s="16"/>
      <c r="D108" s="1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16"/>
      <c r="B109" s="5"/>
      <c r="C109" s="16"/>
      <c r="D109" s="1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16"/>
      <c r="B110" s="5"/>
      <c r="C110" s="16"/>
      <c r="D110" s="1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16"/>
      <c r="B111" s="5"/>
      <c r="C111" s="16"/>
      <c r="D111" s="1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16"/>
      <c r="B112" s="5"/>
      <c r="C112" s="16"/>
      <c r="D112" s="1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16"/>
      <c r="B113" s="5"/>
      <c r="C113" s="16"/>
      <c r="D113" s="1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16"/>
      <c r="B114" s="5"/>
      <c r="C114" s="16"/>
      <c r="D114" s="1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16"/>
      <c r="B115" s="5"/>
      <c r="C115" s="16"/>
      <c r="D115" s="1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16"/>
      <c r="B116" s="5"/>
      <c r="C116" s="16"/>
      <c r="D116" s="1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16"/>
      <c r="B117" s="5"/>
      <c r="C117" s="16"/>
      <c r="D117" s="1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16"/>
      <c r="B118" s="5"/>
      <c r="C118" s="16"/>
      <c r="D118" s="1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16"/>
      <c r="B119" s="5"/>
      <c r="C119" s="16"/>
      <c r="D119" s="1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16"/>
      <c r="B120" s="5"/>
      <c r="C120" s="16"/>
      <c r="D120" s="1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16"/>
      <c r="B121" s="5"/>
      <c r="C121" s="16"/>
      <c r="D121" s="1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16"/>
      <c r="B122" s="5"/>
      <c r="C122" s="16"/>
      <c r="D122" s="1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16"/>
      <c r="B123" s="5"/>
      <c r="C123" s="16"/>
      <c r="D123" s="1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16"/>
      <c r="B124" s="5"/>
      <c r="C124" s="16"/>
      <c r="D124" s="1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16"/>
      <c r="B125" s="5"/>
      <c r="C125" s="16"/>
      <c r="D125" s="1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16"/>
      <c r="B126" s="5"/>
      <c r="C126" s="16"/>
      <c r="D126" s="1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16"/>
      <c r="B127" s="5"/>
      <c r="C127" s="16"/>
      <c r="D127" s="1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16"/>
      <c r="B128" s="5"/>
      <c r="C128" s="16"/>
      <c r="D128" s="1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16"/>
      <c r="B129" s="5"/>
      <c r="C129" s="16"/>
      <c r="D129" s="1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16"/>
      <c r="B130" s="5"/>
      <c r="C130" s="16"/>
      <c r="D130" s="1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16"/>
      <c r="B131" s="5"/>
      <c r="C131" s="16"/>
      <c r="D131" s="1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16"/>
      <c r="B132" s="5"/>
      <c r="C132" s="16"/>
      <c r="D132" s="1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16"/>
      <c r="B133" s="5"/>
      <c r="C133" s="16"/>
      <c r="D133" s="1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16"/>
      <c r="B134" s="5"/>
      <c r="C134" s="16"/>
      <c r="D134" s="1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16"/>
      <c r="B135" s="5"/>
      <c r="C135" s="16"/>
      <c r="D135" s="1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16"/>
      <c r="B136" s="5"/>
      <c r="C136" s="16"/>
      <c r="D136" s="1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16"/>
      <c r="B137" s="5"/>
      <c r="C137" s="16"/>
      <c r="D137" s="1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16"/>
      <c r="B138" s="5"/>
      <c r="C138" s="16"/>
      <c r="D138" s="1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16"/>
      <c r="B139" s="5"/>
      <c r="C139" s="16"/>
      <c r="D139" s="1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16"/>
      <c r="B140" s="5"/>
      <c r="C140" s="16"/>
      <c r="D140" s="1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16"/>
      <c r="B141" s="5"/>
      <c r="C141" s="16"/>
      <c r="D141" s="1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16"/>
      <c r="B142" s="5"/>
      <c r="C142" s="16"/>
      <c r="D142" s="1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16"/>
      <c r="B143" s="5"/>
      <c r="C143" s="16"/>
      <c r="D143" s="1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16"/>
      <c r="B144" s="5"/>
      <c r="C144" s="16"/>
      <c r="D144" s="1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16"/>
      <c r="B145" s="5"/>
      <c r="C145" s="16"/>
      <c r="D145" s="1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16"/>
      <c r="B146" s="5"/>
      <c r="C146" s="16"/>
      <c r="D146" s="1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16"/>
      <c r="B147" s="5"/>
      <c r="C147" s="16"/>
      <c r="D147" s="1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16"/>
      <c r="B148" s="5"/>
      <c r="C148" s="16"/>
      <c r="D148" s="1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16"/>
      <c r="B149" s="5"/>
      <c r="C149" s="16"/>
      <c r="D149" s="1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16"/>
      <c r="B150" s="5"/>
      <c r="C150" s="16"/>
      <c r="D150" s="1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16"/>
      <c r="B151" s="5"/>
      <c r="C151" s="16"/>
      <c r="D151" s="1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16"/>
      <c r="B152" s="5"/>
      <c r="C152" s="16"/>
      <c r="D152" s="1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16"/>
      <c r="B153" s="5"/>
      <c r="C153" s="16"/>
      <c r="D153" s="1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16"/>
      <c r="B154" s="5"/>
      <c r="C154" s="16"/>
      <c r="D154" s="1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16"/>
      <c r="B155" s="5"/>
      <c r="C155" s="16"/>
      <c r="D155" s="1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16"/>
      <c r="B156" s="5"/>
      <c r="C156" s="16"/>
      <c r="D156" s="1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16"/>
      <c r="B157" s="5"/>
      <c r="C157" s="16"/>
      <c r="D157" s="1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16"/>
      <c r="B158" s="5"/>
      <c r="C158" s="16"/>
      <c r="D158" s="1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16"/>
      <c r="B159" s="5"/>
      <c r="C159" s="16"/>
      <c r="D159" s="1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16"/>
      <c r="B160" s="5"/>
      <c r="C160" s="16"/>
      <c r="D160" s="1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16"/>
      <c r="B161" s="5"/>
      <c r="C161" s="16"/>
      <c r="D161" s="1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16"/>
      <c r="B162" s="5"/>
      <c r="C162" s="16"/>
      <c r="D162" s="1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16"/>
      <c r="B163" s="5"/>
      <c r="C163" s="16"/>
      <c r="D163" s="1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16"/>
      <c r="B164" s="5"/>
      <c r="C164" s="16"/>
      <c r="D164" s="1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16"/>
      <c r="B165" s="5"/>
      <c r="C165" s="16"/>
      <c r="D165" s="1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16"/>
      <c r="B166" s="5"/>
      <c r="C166" s="16"/>
      <c r="D166" s="1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16"/>
      <c r="B167" s="5"/>
      <c r="C167" s="16"/>
      <c r="D167" s="1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16"/>
      <c r="B168" s="5"/>
      <c r="C168" s="16"/>
      <c r="D168" s="1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16"/>
      <c r="B169" s="5"/>
      <c r="C169" s="16"/>
      <c r="D169" s="1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16"/>
      <c r="B170" s="5"/>
      <c r="C170" s="16"/>
      <c r="D170" s="1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16"/>
      <c r="B171" s="5"/>
      <c r="C171" s="16"/>
      <c r="D171" s="1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16"/>
      <c r="B172" s="5"/>
      <c r="C172" s="16"/>
      <c r="D172" s="1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16"/>
      <c r="B173" s="5"/>
      <c r="C173" s="16"/>
      <c r="D173" s="1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16"/>
      <c r="B174" s="5"/>
      <c r="C174" s="16"/>
      <c r="D174" s="1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16"/>
      <c r="B175" s="5"/>
      <c r="C175" s="16"/>
      <c r="D175" s="1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16"/>
      <c r="B176" s="5"/>
      <c r="C176" s="16"/>
      <c r="D176" s="1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16"/>
      <c r="B177" s="5"/>
      <c r="C177" s="16"/>
      <c r="D177" s="1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16"/>
      <c r="B178" s="5"/>
      <c r="C178" s="16"/>
      <c r="D178" s="1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16"/>
      <c r="B179" s="5"/>
      <c r="C179" s="16"/>
      <c r="D179" s="1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16"/>
      <c r="B180" s="5"/>
      <c r="C180" s="16"/>
      <c r="D180" s="1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16"/>
      <c r="B181" s="5"/>
      <c r="C181" s="16"/>
      <c r="D181" s="1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16"/>
      <c r="B182" s="5"/>
      <c r="C182" s="16"/>
      <c r="D182" s="1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16"/>
      <c r="B183" s="5"/>
      <c r="C183" s="16"/>
      <c r="D183" s="1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16"/>
      <c r="B184" s="5"/>
      <c r="C184" s="16"/>
      <c r="D184" s="1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16"/>
      <c r="B185" s="5"/>
      <c r="C185" s="16"/>
      <c r="D185" s="1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16"/>
      <c r="B186" s="5"/>
      <c r="C186" s="16"/>
      <c r="D186" s="1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16"/>
      <c r="B187" s="5"/>
      <c r="C187" s="16"/>
      <c r="D187" s="1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16"/>
      <c r="B188" s="5"/>
      <c r="C188" s="16"/>
      <c r="D188" s="1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16"/>
      <c r="B189" s="5"/>
      <c r="C189" s="16"/>
      <c r="D189" s="1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16"/>
      <c r="B190" s="5"/>
      <c r="C190" s="16"/>
      <c r="D190" s="1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16"/>
      <c r="B191" s="5"/>
      <c r="C191" s="16"/>
      <c r="D191" s="1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16"/>
      <c r="B192" s="5"/>
      <c r="C192" s="16"/>
      <c r="D192" s="1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16"/>
      <c r="B193" s="5"/>
      <c r="C193" s="16"/>
      <c r="D193" s="1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16"/>
      <c r="B194" s="5"/>
      <c r="C194" s="16"/>
      <c r="D194" s="1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16"/>
      <c r="B195" s="5"/>
      <c r="C195" s="16"/>
      <c r="D195" s="1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16"/>
      <c r="B196" s="5"/>
      <c r="C196" s="16"/>
      <c r="D196" s="1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16"/>
      <c r="B197" s="5"/>
      <c r="C197" s="16"/>
      <c r="D197" s="1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16"/>
      <c r="B198" s="5"/>
      <c r="C198" s="16"/>
      <c r="D198" s="1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16"/>
      <c r="B199" s="5"/>
      <c r="C199" s="16"/>
      <c r="D199" s="1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16"/>
      <c r="B200" s="5"/>
      <c r="C200" s="16"/>
      <c r="D200" s="1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16"/>
      <c r="B201" s="5"/>
      <c r="C201" s="16"/>
      <c r="D201" s="1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16"/>
      <c r="B202" s="5"/>
      <c r="C202" s="16"/>
      <c r="D202" s="1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16"/>
      <c r="B203" s="5"/>
      <c r="C203" s="16"/>
      <c r="D203" s="1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16"/>
      <c r="B204" s="5"/>
      <c r="C204" s="16"/>
      <c r="D204" s="1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16"/>
      <c r="B205" s="5"/>
      <c r="C205" s="16"/>
      <c r="D205" s="1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16"/>
      <c r="B206" s="5"/>
      <c r="C206" s="16"/>
      <c r="D206" s="1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16"/>
      <c r="B207" s="5"/>
      <c r="C207" s="16"/>
      <c r="D207" s="1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16"/>
      <c r="B208" s="5"/>
      <c r="C208" s="16"/>
      <c r="D208" s="1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16"/>
      <c r="B209" s="5"/>
      <c r="C209" s="16"/>
      <c r="D209" s="1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16"/>
      <c r="B210" s="5"/>
      <c r="C210" s="16"/>
      <c r="D210" s="1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16"/>
      <c r="B211" s="5"/>
      <c r="C211" s="16"/>
      <c r="D211" s="1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16"/>
      <c r="B212" s="5"/>
      <c r="C212" s="16"/>
      <c r="D212" s="1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16"/>
      <c r="B213" s="5"/>
      <c r="C213" s="16"/>
      <c r="D213" s="1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16"/>
      <c r="B214" s="5"/>
      <c r="C214" s="16"/>
      <c r="D214" s="1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16"/>
      <c r="B215" s="5"/>
      <c r="C215" s="16"/>
      <c r="D215" s="1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16"/>
      <c r="B216" s="5"/>
      <c r="C216" s="16"/>
      <c r="D216" s="1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16"/>
      <c r="B217" s="5"/>
      <c r="C217" s="16"/>
      <c r="D217" s="1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16"/>
      <c r="B218" s="5"/>
      <c r="C218" s="16"/>
      <c r="D218" s="1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16"/>
      <c r="B219" s="5"/>
      <c r="C219" s="16"/>
      <c r="D219" s="1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16"/>
      <c r="B220" s="5"/>
      <c r="C220" s="16"/>
      <c r="D220" s="1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16"/>
      <c r="B221" s="5"/>
      <c r="C221" s="16"/>
      <c r="D221" s="1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16"/>
      <c r="B222" s="5"/>
      <c r="C222" s="16"/>
      <c r="D222" s="1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16"/>
      <c r="B223" s="5"/>
      <c r="C223" s="16"/>
      <c r="D223" s="1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16"/>
      <c r="B224" s="5"/>
      <c r="C224" s="16"/>
      <c r="D224" s="1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16"/>
      <c r="B225" s="5"/>
      <c r="C225" s="16"/>
      <c r="D225" s="1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16"/>
      <c r="B226" s="5"/>
      <c r="C226" s="16"/>
      <c r="D226" s="1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16"/>
      <c r="B227" s="5"/>
      <c r="C227" s="16"/>
      <c r="D227" s="1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16"/>
      <c r="B228" s="5"/>
      <c r="C228" s="16"/>
      <c r="D228" s="1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16"/>
      <c r="B229" s="5"/>
      <c r="C229" s="16"/>
      <c r="D229" s="1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16"/>
      <c r="B230" s="5"/>
      <c r="C230" s="16"/>
      <c r="D230" s="1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16"/>
      <c r="B231" s="5"/>
      <c r="C231" s="16"/>
      <c r="D231" s="1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16"/>
      <c r="B232" s="5"/>
      <c r="C232" s="16"/>
      <c r="D232" s="1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16"/>
      <c r="B233" s="5"/>
      <c r="C233" s="16"/>
      <c r="D233" s="1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16"/>
      <c r="B234" s="5"/>
      <c r="C234" s="16"/>
      <c r="D234" s="1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16"/>
      <c r="B235" s="5"/>
      <c r="C235" s="16"/>
      <c r="D235" s="1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16"/>
      <c r="B236" s="5"/>
      <c r="C236" s="16"/>
      <c r="D236" s="1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16"/>
      <c r="B237" s="5"/>
      <c r="C237" s="16"/>
      <c r="D237" s="1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16"/>
      <c r="B238" s="5"/>
      <c r="C238" s="16"/>
      <c r="D238" s="1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16"/>
      <c r="B239" s="5"/>
      <c r="C239" s="16"/>
      <c r="D239" s="1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16"/>
      <c r="B240" s="5"/>
      <c r="C240" s="16"/>
      <c r="D240" s="1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16"/>
      <c r="B241" s="5"/>
      <c r="C241" s="16"/>
      <c r="D241" s="1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16"/>
      <c r="B242" s="5"/>
      <c r="C242" s="16"/>
      <c r="D242" s="1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16"/>
      <c r="B243" s="5"/>
      <c r="C243" s="16"/>
      <c r="D243" s="1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16"/>
      <c r="B244" s="5"/>
      <c r="C244" s="16"/>
      <c r="D244" s="1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16"/>
      <c r="B245" s="5"/>
      <c r="C245" s="16"/>
      <c r="D245" s="1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16"/>
      <c r="B246" s="5"/>
      <c r="C246" s="16"/>
      <c r="D246" s="1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16"/>
      <c r="B247" s="5"/>
      <c r="C247" s="16"/>
      <c r="D247" s="1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16"/>
      <c r="B248" s="5"/>
      <c r="C248" s="16"/>
      <c r="D248" s="1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16"/>
      <c r="B249" s="5"/>
      <c r="C249" s="16"/>
      <c r="D249" s="1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16"/>
      <c r="B250" s="5"/>
      <c r="C250" s="16"/>
      <c r="D250" s="1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16"/>
      <c r="B251" s="5"/>
      <c r="C251" s="16"/>
      <c r="D251" s="1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16"/>
      <c r="B252" s="5"/>
      <c r="C252" s="16"/>
      <c r="D252" s="1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16"/>
      <c r="B253" s="5"/>
      <c r="C253" s="16"/>
      <c r="D253" s="1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16"/>
      <c r="B254" s="5"/>
      <c r="C254" s="16"/>
      <c r="D254" s="1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16"/>
      <c r="B255" s="5"/>
      <c r="C255" s="16"/>
      <c r="D255" s="1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16"/>
      <c r="B256" s="5"/>
      <c r="C256" s="16"/>
      <c r="D256" s="1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16"/>
      <c r="B257" s="5"/>
      <c r="C257" s="16"/>
      <c r="D257" s="1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16"/>
      <c r="B258" s="5"/>
      <c r="C258" s="16"/>
      <c r="D258" s="1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16"/>
      <c r="B259" s="5"/>
      <c r="C259" s="16"/>
      <c r="D259" s="16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16"/>
      <c r="B260" s="5"/>
      <c r="C260" s="16"/>
      <c r="D260" s="16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16"/>
      <c r="B261" s="5"/>
      <c r="C261" s="16"/>
      <c r="D261" s="16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16"/>
      <c r="B262" s="5"/>
      <c r="C262" s="16"/>
      <c r="D262" s="16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16"/>
      <c r="B263" s="5"/>
      <c r="C263" s="16"/>
      <c r="D263" s="16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16"/>
      <c r="B264" s="5"/>
      <c r="C264" s="16"/>
      <c r="D264" s="16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16"/>
      <c r="B265" s="5"/>
      <c r="C265" s="16"/>
      <c r="D265" s="16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16"/>
      <c r="B266" s="5"/>
      <c r="C266" s="16"/>
      <c r="D266" s="16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16"/>
      <c r="B267" s="5"/>
      <c r="C267" s="16"/>
      <c r="D267" s="16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16"/>
      <c r="B268" s="5"/>
      <c r="C268" s="16"/>
      <c r="D268" s="16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16"/>
      <c r="B269" s="5"/>
      <c r="C269" s="16"/>
      <c r="D269" s="16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16"/>
      <c r="B270" s="5"/>
      <c r="C270" s="16"/>
      <c r="D270" s="16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16"/>
      <c r="B271" s="5"/>
      <c r="C271" s="16"/>
      <c r="D271" s="16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16"/>
      <c r="B272" s="5"/>
      <c r="C272" s="16"/>
      <c r="D272" s="16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16"/>
      <c r="B273" s="5"/>
      <c r="C273" s="16"/>
      <c r="D273" s="16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16"/>
      <c r="B274" s="5"/>
      <c r="C274" s="16"/>
      <c r="D274" s="16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16"/>
      <c r="B275" s="5"/>
      <c r="C275" s="16"/>
      <c r="D275" s="16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16"/>
      <c r="B276" s="5"/>
      <c r="C276" s="16"/>
      <c r="D276" s="16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16"/>
      <c r="B277" s="5"/>
      <c r="C277" s="16"/>
      <c r="D277" s="16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16"/>
      <c r="B278" s="5"/>
      <c r="C278" s="16"/>
      <c r="D278" s="16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16"/>
      <c r="B279" s="5"/>
      <c r="C279" s="16"/>
      <c r="D279" s="16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16"/>
      <c r="B280" s="5"/>
      <c r="C280" s="16"/>
      <c r="D280" s="16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16"/>
      <c r="B281" s="5"/>
      <c r="C281" s="16"/>
      <c r="D281" s="16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16"/>
      <c r="B282" s="5"/>
      <c r="C282" s="16"/>
      <c r="D282" s="16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16"/>
      <c r="B283" s="5"/>
      <c r="C283" s="16"/>
      <c r="D283" s="16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16"/>
      <c r="B284" s="5"/>
      <c r="C284" s="16"/>
      <c r="D284" s="16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16"/>
      <c r="B285" s="5"/>
      <c r="C285" s="16"/>
      <c r="D285" s="16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16"/>
      <c r="B286" s="5"/>
      <c r="C286" s="16"/>
      <c r="D286" s="16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16"/>
      <c r="B287" s="5"/>
      <c r="C287" s="16"/>
      <c r="D287" s="16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16"/>
      <c r="B288" s="5"/>
      <c r="C288" s="16"/>
      <c r="D288" s="16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16"/>
      <c r="B289" s="5"/>
      <c r="C289" s="16"/>
      <c r="D289" s="16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16"/>
      <c r="B290" s="5"/>
      <c r="C290" s="16"/>
      <c r="D290" s="16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16"/>
      <c r="B291" s="5"/>
      <c r="C291" s="16"/>
      <c r="D291" s="16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16"/>
      <c r="B292" s="5"/>
      <c r="C292" s="16"/>
      <c r="D292" s="16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16"/>
      <c r="B293" s="5"/>
      <c r="C293" s="16"/>
      <c r="D293" s="16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16"/>
      <c r="B294" s="5"/>
      <c r="C294" s="16"/>
      <c r="D294" s="16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16"/>
      <c r="B295" s="5"/>
      <c r="C295" s="16"/>
      <c r="D295" s="16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16"/>
      <c r="B296" s="5"/>
      <c r="C296" s="16"/>
      <c r="D296" s="16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16"/>
      <c r="B297" s="5"/>
      <c r="C297" s="16"/>
      <c r="D297" s="16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16"/>
      <c r="B298" s="5"/>
      <c r="C298" s="16"/>
      <c r="D298" s="16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16"/>
      <c r="B299" s="5"/>
      <c r="C299" s="16"/>
      <c r="D299" s="16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16"/>
      <c r="B300" s="5"/>
      <c r="C300" s="16"/>
      <c r="D300" s="16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16"/>
      <c r="B301" s="5"/>
      <c r="C301" s="16"/>
      <c r="D301" s="16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16"/>
      <c r="B302" s="5"/>
      <c r="C302" s="16"/>
      <c r="D302" s="16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16"/>
      <c r="B303" s="5"/>
      <c r="C303" s="16"/>
      <c r="D303" s="16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16"/>
      <c r="B304" s="5"/>
      <c r="C304" s="16"/>
      <c r="D304" s="16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16"/>
      <c r="B305" s="5"/>
      <c r="C305" s="16"/>
      <c r="D305" s="16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16"/>
      <c r="B306" s="5"/>
      <c r="C306" s="16"/>
      <c r="D306" s="16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16"/>
      <c r="B307" s="5"/>
      <c r="C307" s="16"/>
      <c r="D307" s="16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16"/>
      <c r="B308" s="5"/>
      <c r="C308" s="16"/>
      <c r="D308" s="16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16"/>
      <c r="B309" s="5"/>
      <c r="C309" s="16"/>
      <c r="D309" s="16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16"/>
      <c r="B310" s="5"/>
      <c r="C310" s="16"/>
      <c r="D310" s="16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16"/>
      <c r="B311" s="5"/>
      <c r="C311" s="16"/>
      <c r="D311" s="16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16"/>
      <c r="B312" s="5"/>
      <c r="C312" s="16"/>
      <c r="D312" s="16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16"/>
      <c r="B313" s="5"/>
      <c r="C313" s="16"/>
      <c r="D313" s="16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16"/>
      <c r="B314" s="5"/>
      <c r="C314" s="16"/>
      <c r="D314" s="16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16"/>
      <c r="B315" s="5"/>
      <c r="C315" s="16"/>
      <c r="D315" s="16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16"/>
      <c r="B316" s="5"/>
      <c r="C316" s="16"/>
      <c r="D316" s="16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16"/>
      <c r="B317" s="5"/>
      <c r="C317" s="16"/>
      <c r="D317" s="16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16"/>
      <c r="B318" s="5"/>
      <c r="C318" s="16"/>
      <c r="D318" s="16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16"/>
      <c r="B319" s="5"/>
      <c r="C319" s="16"/>
      <c r="D319" s="16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16"/>
      <c r="B320" s="5"/>
      <c r="C320" s="16"/>
      <c r="D320" s="16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16"/>
      <c r="B321" s="5"/>
      <c r="C321" s="16"/>
      <c r="D321" s="16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16"/>
      <c r="B322" s="5"/>
      <c r="C322" s="16"/>
      <c r="D322" s="16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16"/>
      <c r="B323" s="5"/>
      <c r="C323" s="16"/>
      <c r="D323" s="16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16"/>
      <c r="B324" s="5"/>
      <c r="C324" s="16"/>
      <c r="D324" s="16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16"/>
      <c r="B325" s="5"/>
      <c r="C325" s="16"/>
      <c r="D325" s="16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16"/>
      <c r="B326" s="5"/>
      <c r="C326" s="16"/>
      <c r="D326" s="16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16"/>
      <c r="B327" s="5"/>
      <c r="C327" s="16"/>
      <c r="D327" s="16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16"/>
      <c r="B328" s="5"/>
      <c r="C328" s="16"/>
      <c r="D328" s="16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16"/>
      <c r="B329" s="5"/>
      <c r="C329" s="16"/>
      <c r="D329" s="16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16"/>
      <c r="B330" s="5"/>
      <c r="C330" s="16"/>
      <c r="D330" s="16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16"/>
      <c r="B331" s="5"/>
      <c r="C331" s="16"/>
      <c r="D331" s="16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16"/>
      <c r="B332" s="5"/>
      <c r="C332" s="16"/>
      <c r="D332" s="16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16"/>
      <c r="B333" s="5"/>
      <c r="C333" s="16"/>
      <c r="D333" s="16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16"/>
      <c r="B334" s="5"/>
      <c r="C334" s="16"/>
      <c r="D334" s="16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16"/>
      <c r="B335" s="5"/>
      <c r="C335" s="16"/>
      <c r="D335" s="16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16"/>
      <c r="B336" s="5"/>
      <c r="C336" s="16"/>
      <c r="D336" s="16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16"/>
      <c r="B337" s="5"/>
      <c r="C337" s="16"/>
      <c r="D337" s="16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16"/>
      <c r="B338" s="5"/>
      <c r="C338" s="16"/>
      <c r="D338" s="1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16"/>
      <c r="B339" s="5"/>
      <c r="C339" s="16"/>
      <c r="D339" s="1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16"/>
      <c r="B340" s="5"/>
      <c r="C340" s="16"/>
      <c r="D340" s="1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16"/>
      <c r="B341" s="5"/>
      <c r="C341" s="16"/>
      <c r="D341" s="1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16"/>
      <c r="B342" s="5"/>
      <c r="C342" s="16"/>
      <c r="D342" s="1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16"/>
      <c r="B343" s="5"/>
      <c r="C343" s="16"/>
      <c r="D343" s="1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16"/>
      <c r="B344" s="5"/>
      <c r="C344" s="16"/>
      <c r="D344" s="1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16"/>
      <c r="B345" s="5"/>
      <c r="C345" s="16"/>
      <c r="D345" s="1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16"/>
      <c r="B346" s="5"/>
      <c r="C346" s="16"/>
      <c r="D346" s="1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16"/>
      <c r="B347" s="5"/>
      <c r="C347" s="16"/>
      <c r="D347" s="16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16"/>
      <c r="B348" s="5"/>
      <c r="C348" s="16"/>
      <c r="D348" s="1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16"/>
      <c r="B349" s="5"/>
      <c r="C349" s="16"/>
      <c r="D349" s="1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16"/>
      <c r="B350" s="5"/>
      <c r="C350" s="16"/>
      <c r="D350" s="1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16"/>
      <c r="B351" s="5"/>
      <c r="C351" s="16"/>
      <c r="D351" s="16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16"/>
      <c r="B352" s="5"/>
      <c r="C352" s="16"/>
      <c r="D352" s="16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16"/>
      <c r="B353" s="5"/>
      <c r="C353" s="16"/>
      <c r="D353" s="1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16"/>
      <c r="B354" s="5"/>
      <c r="C354" s="16"/>
      <c r="D354" s="16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16"/>
      <c r="B355" s="5"/>
      <c r="C355" s="16"/>
      <c r="D355" s="1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16"/>
      <c r="B356" s="5"/>
      <c r="C356" s="16"/>
      <c r="D356" s="1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16"/>
      <c r="B357" s="5"/>
      <c r="C357" s="16"/>
      <c r="D357" s="1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16"/>
      <c r="B358" s="5"/>
      <c r="C358" s="16"/>
      <c r="D358" s="16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16"/>
      <c r="B359" s="5"/>
      <c r="C359" s="16"/>
      <c r="D359" s="16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16"/>
      <c r="B360" s="5"/>
      <c r="C360" s="16"/>
      <c r="D360" s="16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16"/>
      <c r="B361" s="5"/>
      <c r="C361" s="16"/>
      <c r="D361" s="1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16"/>
      <c r="B362" s="5"/>
      <c r="C362" s="16"/>
      <c r="D362" s="1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16"/>
      <c r="B363" s="5"/>
      <c r="C363" s="16"/>
      <c r="D363" s="1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16"/>
      <c r="B364" s="5"/>
      <c r="C364" s="16"/>
      <c r="D364" s="1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16"/>
      <c r="B365" s="5"/>
      <c r="C365" s="16"/>
      <c r="D365" s="16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16"/>
      <c r="B366" s="5"/>
      <c r="C366" s="16"/>
      <c r="D366" s="1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16"/>
      <c r="B367" s="5"/>
      <c r="C367" s="16"/>
      <c r="D367" s="16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16"/>
      <c r="B368" s="5"/>
      <c r="C368" s="16"/>
      <c r="D368" s="1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16"/>
      <c r="B369" s="5"/>
      <c r="C369" s="16"/>
      <c r="D369" s="16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16"/>
      <c r="B370" s="5"/>
      <c r="C370" s="16"/>
      <c r="D370" s="1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16"/>
      <c r="B371" s="5"/>
      <c r="C371" s="16"/>
      <c r="D371" s="16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16"/>
      <c r="B372" s="5"/>
      <c r="C372" s="16"/>
      <c r="D372" s="1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16"/>
      <c r="B373" s="5"/>
      <c r="C373" s="16"/>
      <c r="D373" s="16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16"/>
      <c r="B374" s="5"/>
      <c r="C374" s="16"/>
      <c r="D374" s="1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16"/>
      <c r="B375" s="5"/>
      <c r="C375" s="16"/>
      <c r="D375" s="1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16"/>
      <c r="B376" s="5"/>
      <c r="C376" s="16"/>
      <c r="D376" s="16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16"/>
      <c r="B377" s="5"/>
      <c r="C377" s="16"/>
      <c r="D377" s="16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16"/>
      <c r="B378" s="5"/>
      <c r="C378" s="16"/>
      <c r="D378" s="1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16"/>
      <c r="B379" s="5"/>
      <c r="C379" s="16"/>
      <c r="D379" s="16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16"/>
      <c r="B380" s="5"/>
      <c r="C380" s="16"/>
      <c r="D380" s="16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16"/>
      <c r="B381" s="5"/>
      <c r="C381" s="16"/>
      <c r="D381" s="1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16"/>
      <c r="B382" s="5"/>
      <c r="C382" s="16"/>
      <c r="D382" s="1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16"/>
      <c r="B383" s="5"/>
      <c r="C383" s="16"/>
      <c r="D383" s="16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16"/>
      <c r="B384" s="5"/>
      <c r="C384" s="16"/>
      <c r="D384" s="1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16"/>
      <c r="B385" s="5"/>
      <c r="C385" s="16"/>
      <c r="D385" s="16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16"/>
      <c r="B386" s="5"/>
      <c r="C386" s="16"/>
      <c r="D386" s="16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16"/>
      <c r="B387" s="5"/>
      <c r="C387" s="16"/>
      <c r="D387" s="16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16"/>
      <c r="B388" s="5"/>
      <c r="C388" s="16"/>
      <c r="D388" s="16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16"/>
      <c r="B389" s="5"/>
      <c r="C389" s="16"/>
      <c r="D389" s="1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16"/>
      <c r="B390" s="5"/>
      <c r="C390" s="16"/>
      <c r="D390" s="1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16"/>
      <c r="B391" s="5"/>
      <c r="C391" s="16"/>
      <c r="D391" s="16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16"/>
      <c r="B392" s="5"/>
      <c r="C392" s="16"/>
      <c r="D392" s="16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16"/>
      <c r="B393" s="5"/>
      <c r="C393" s="16"/>
      <c r="D393" s="16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16"/>
      <c r="B394" s="5"/>
      <c r="C394" s="16"/>
      <c r="D394" s="16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16"/>
      <c r="B395" s="5"/>
      <c r="C395" s="16"/>
      <c r="D395" s="1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16"/>
      <c r="B396" s="5"/>
      <c r="C396" s="16"/>
      <c r="D396" s="16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16"/>
      <c r="B397" s="5"/>
      <c r="C397" s="16"/>
      <c r="D397" s="1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16"/>
      <c r="B398" s="5"/>
      <c r="C398" s="16"/>
      <c r="D398" s="16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16"/>
      <c r="B399" s="5"/>
      <c r="C399" s="16"/>
      <c r="D399" s="16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16"/>
      <c r="B400" s="5"/>
      <c r="C400" s="16"/>
      <c r="D400" s="16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16"/>
      <c r="B401" s="5"/>
      <c r="C401" s="16"/>
      <c r="D401" s="16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16"/>
      <c r="B402" s="5"/>
      <c r="C402" s="16"/>
      <c r="D402" s="16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16"/>
      <c r="B403" s="5"/>
      <c r="C403" s="16"/>
      <c r="D403" s="16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16"/>
      <c r="B404" s="5"/>
      <c r="C404" s="16"/>
      <c r="D404" s="1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16"/>
      <c r="B405" s="5"/>
      <c r="C405" s="16"/>
      <c r="D405" s="16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16"/>
      <c r="B406" s="5"/>
      <c r="C406" s="16"/>
      <c r="D406" s="1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16"/>
      <c r="B407" s="5"/>
      <c r="C407" s="16"/>
      <c r="D407" s="16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16"/>
      <c r="B408" s="5"/>
      <c r="C408" s="16"/>
      <c r="D408" s="1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16"/>
      <c r="B409" s="5"/>
      <c r="C409" s="16"/>
      <c r="D409" s="1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16"/>
      <c r="B410" s="5"/>
      <c r="C410" s="16"/>
      <c r="D410" s="1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16"/>
      <c r="B411" s="5"/>
      <c r="C411" s="16"/>
      <c r="D411" s="1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16"/>
      <c r="B412" s="5"/>
      <c r="C412" s="16"/>
      <c r="D412" s="1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16"/>
      <c r="B413" s="5"/>
      <c r="C413" s="16"/>
      <c r="D413" s="1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16"/>
      <c r="B414" s="5"/>
      <c r="C414" s="16"/>
      <c r="D414" s="1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16"/>
      <c r="B415" s="5"/>
      <c r="C415" s="16"/>
      <c r="D415" s="16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16"/>
      <c r="B416" s="5"/>
      <c r="C416" s="16"/>
      <c r="D416" s="1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16"/>
      <c r="B417" s="5"/>
      <c r="C417" s="16"/>
      <c r="D417" s="1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16"/>
      <c r="B418" s="5"/>
      <c r="C418" s="16"/>
      <c r="D418" s="1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16"/>
      <c r="B419" s="5"/>
      <c r="C419" s="16"/>
      <c r="D419" s="1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16"/>
      <c r="B420" s="5"/>
      <c r="C420" s="16"/>
      <c r="D420" s="16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16"/>
      <c r="B421" s="5"/>
      <c r="C421" s="16"/>
      <c r="D421" s="1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16"/>
      <c r="B422" s="5"/>
      <c r="C422" s="16"/>
      <c r="D422" s="16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16"/>
      <c r="B423" s="5"/>
      <c r="C423" s="16"/>
      <c r="D423" s="16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16"/>
      <c r="B424" s="5"/>
      <c r="C424" s="16"/>
      <c r="D424" s="1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16"/>
      <c r="B425" s="5"/>
      <c r="C425" s="16"/>
      <c r="D425" s="1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16"/>
      <c r="B426" s="5"/>
      <c r="C426" s="16"/>
      <c r="D426" s="16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16"/>
      <c r="B427" s="5"/>
      <c r="C427" s="16"/>
      <c r="D427" s="1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16"/>
      <c r="B428" s="5"/>
      <c r="C428" s="16"/>
      <c r="D428" s="1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16"/>
      <c r="B429" s="5"/>
      <c r="C429" s="16"/>
      <c r="D429" s="16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16"/>
      <c r="B430" s="5"/>
      <c r="C430" s="16"/>
      <c r="D430" s="16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16"/>
      <c r="B431" s="5"/>
      <c r="C431" s="16"/>
      <c r="D431" s="1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16"/>
      <c r="B432" s="5"/>
      <c r="C432" s="16"/>
      <c r="D432" s="1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16"/>
      <c r="B433" s="5"/>
      <c r="C433" s="16"/>
      <c r="D433" s="1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16"/>
      <c r="B434" s="5"/>
      <c r="C434" s="16"/>
      <c r="D434" s="1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16"/>
      <c r="B435" s="5"/>
      <c r="C435" s="16"/>
      <c r="D435" s="16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16"/>
      <c r="B436" s="5"/>
      <c r="C436" s="16"/>
      <c r="D436" s="1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16"/>
      <c r="B437" s="5"/>
      <c r="C437" s="16"/>
      <c r="D437" s="1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16"/>
      <c r="B438" s="5"/>
      <c r="C438" s="16"/>
      <c r="D438" s="1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16"/>
      <c r="B439" s="5"/>
      <c r="C439" s="16"/>
      <c r="D439" s="1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16"/>
      <c r="B440" s="5"/>
      <c r="C440" s="16"/>
      <c r="D440" s="16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16"/>
      <c r="B441" s="5"/>
      <c r="C441" s="16"/>
      <c r="D441" s="16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16"/>
      <c r="B442" s="5"/>
      <c r="C442" s="16"/>
      <c r="D442" s="1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16"/>
      <c r="B443" s="5"/>
      <c r="C443" s="16"/>
      <c r="D443" s="1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16"/>
      <c r="B444" s="5"/>
      <c r="C444" s="16"/>
      <c r="D444" s="1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16"/>
      <c r="B445" s="5"/>
      <c r="C445" s="16"/>
      <c r="D445" s="1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16"/>
      <c r="B446" s="5"/>
      <c r="C446" s="16"/>
      <c r="D446" s="1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16"/>
      <c r="B447" s="5"/>
      <c r="C447" s="16"/>
      <c r="D447" s="16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16"/>
      <c r="B448" s="5"/>
      <c r="C448" s="16"/>
      <c r="D448" s="1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16"/>
      <c r="B449" s="5"/>
      <c r="C449" s="16"/>
      <c r="D449" s="16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16"/>
      <c r="B450" s="5"/>
      <c r="C450" s="16"/>
      <c r="D450" s="1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16"/>
      <c r="B451" s="5"/>
      <c r="C451" s="16"/>
      <c r="D451" s="16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16"/>
      <c r="B452" s="5"/>
      <c r="C452" s="16"/>
      <c r="D452" s="1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16"/>
      <c r="B453" s="5"/>
      <c r="C453" s="16"/>
      <c r="D453" s="1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16"/>
      <c r="B454" s="5"/>
      <c r="C454" s="16"/>
      <c r="D454" s="1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16"/>
      <c r="B455" s="5"/>
      <c r="C455" s="16"/>
      <c r="D455" s="16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16"/>
      <c r="B456" s="5"/>
      <c r="C456" s="16"/>
      <c r="D456" s="16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16"/>
      <c r="B457" s="5"/>
      <c r="C457" s="16"/>
      <c r="D457" s="1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16"/>
      <c r="B458" s="5"/>
      <c r="C458" s="16"/>
      <c r="D458" s="1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16"/>
      <c r="B459" s="5"/>
      <c r="C459" s="16"/>
      <c r="D459" s="1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16"/>
      <c r="B460" s="5"/>
      <c r="C460" s="16"/>
      <c r="D460" s="16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16"/>
      <c r="B461" s="5"/>
      <c r="C461" s="16"/>
      <c r="D461" s="1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16"/>
      <c r="B462" s="5"/>
      <c r="C462" s="16"/>
      <c r="D462" s="16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16"/>
      <c r="B463" s="5"/>
      <c r="C463" s="16"/>
      <c r="D463" s="1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16"/>
      <c r="B464" s="5"/>
      <c r="C464" s="16"/>
      <c r="D464" s="1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16"/>
      <c r="B465" s="5"/>
      <c r="C465" s="16"/>
      <c r="D465" s="1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16"/>
      <c r="B466" s="5"/>
      <c r="C466" s="16"/>
      <c r="D466" s="1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16"/>
      <c r="B467" s="5"/>
      <c r="C467" s="16"/>
      <c r="D467" s="1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16"/>
      <c r="B468" s="5"/>
      <c r="C468" s="16"/>
      <c r="D468" s="1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16"/>
      <c r="B469" s="5"/>
      <c r="C469" s="16"/>
      <c r="D469" s="1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16"/>
      <c r="B470" s="5"/>
      <c r="C470" s="16"/>
      <c r="D470" s="16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16"/>
      <c r="B471" s="5"/>
      <c r="C471" s="16"/>
      <c r="D471" s="1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16"/>
      <c r="B472" s="5"/>
      <c r="C472" s="16"/>
      <c r="D472" s="1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16"/>
      <c r="B473" s="5"/>
      <c r="C473" s="16"/>
      <c r="D473" s="1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16"/>
      <c r="B474" s="5"/>
      <c r="C474" s="16"/>
      <c r="D474" s="16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16"/>
      <c r="B475" s="5"/>
      <c r="C475" s="16"/>
      <c r="D475" s="16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16"/>
      <c r="B476" s="5"/>
      <c r="C476" s="16"/>
      <c r="D476" s="16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16"/>
      <c r="B477" s="5"/>
      <c r="C477" s="16"/>
      <c r="D477" s="16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16"/>
      <c r="B478" s="5"/>
      <c r="C478" s="16"/>
      <c r="D478" s="1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16"/>
      <c r="B479" s="5"/>
      <c r="C479" s="16"/>
      <c r="D479" s="1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16"/>
      <c r="B480" s="5"/>
      <c r="C480" s="16"/>
      <c r="D480" s="16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16"/>
      <c r="B481" s="5"/>
      <c r="C481" s="16"/>
      <c r="D481" s="1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16"/>
      <c r="B482" s="5"/>
      <c r="C482" s="16"/>
      <c r="D482" s="1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16"/>
      <c r="B483" s="5"/>
      <c r="C483" s="16"/>
      <c r="D483" s="1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16"/>
      <c r="B484" s="5"/>
      <c r="C484" s="16"/>
      <c r="D484" s="16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16"/>
      <c r="B485" s="5"/>
      <c r="C485" s="16"/>
      <c r="D485" s="1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16"/>
      <c r="B486" s="5"/>
      <c r="C486" s="16"/>
      <c r="D486" s="1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16"/>
      <c r="B487" s="5"/>
      <c r="C487" s="16"/>
      <c r="D487" s="1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16"/>
      <c r="B488" s="5"/>
      <c r="C488" s="16"/>
      <c r="D488" s="16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16"/>
      <c r="B489" s="5"/>
      <c r="C489" s="16"/>
      <c r="D489" s="1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16"/>
      <c r="B490" s="5"/>
      <c r="C490" s="16"/>
      <c r="D490" s="1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16"/>
      <c r="B491" s="5"/>
      <c r="C491" s="16"/>
      <c r="D491" s="16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16"/>
      <c r="B492" s="5"/>
      <c r="C492" s="16"/>
      <c r="D492" s="16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16"/>
      <c r="B493" s="5"/>
      <c r="C493" s="16"/>
      <c r="D493" s="1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16"/>
      <c r="B494" s="5"/>
      <c r="C494" s="16"/>
      <c r="D494" s="16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16"/>
      <c r="B495" s="5"/>
      <c r="C495" s="16"/>
      <c r="D495" s="16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16"/>
      <c r="B496" s="5"/>
      <c r="C496" s="16"/>
      <c r="D496" s="1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16"/>
      <c r="B497" s="5"/>
      <c r="C497" s="16"/>
      <c r="D497" s="1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16"/>
      <c r="B498" s="5"/>
      <c r="C498" s="16"/>
      <c r="D498" s="1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16"/>
      <c r="B499" s="5"/>
      <c r="C499" s="16"/>
      <c r="D499" s="1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16"/>
      <c r="B500" s="5"/>
      <c r="C500" s="16"/>
      <c r="D500" s="1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16"/>
      <c r="B501" s="5"/>
      <c r="C501" s="16"/>
      <c r="D501" s="1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16"/>
      <c r="B502" s="5"/>
      <c r="C502" s="16"/>
      <c r="D502" s="1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16"/>
      <c r="B503" s="5"/>
      <c r="C503" s="16"/>
      <c r="D503" s="1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16"/>
      <c r="B504" s="5"/>
      <c r="C504" s="16"/>
      <c r="D504" s="1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16"/>
      <c r="B505" s="5"/>
      <c r="C505" s="16"/>
      <c r="D505" s="1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16"/>
      <c r="B506" s="5"/>
      <c r="C506" s="16"/>
      <c r="D506" s="1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16"/>
      <c r="B507" s="5"/>
      <c r="C507" s="16"/>
      <c r="D507" s="1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16"/>
      <c r="B508" s="5"/>
      <c r="C508" s="16"/>
      <c r="D508" s="1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16"/>
      <c r="B509" s="5"/>
      <c r="C509" s="16"/>
      <c r="D509" s="1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16"/>
      <c r="B510" s="5"/>
      <c r="C510" s="16"/>
      <c r="D510" s="16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16"/>
      <c r="B511" s="5"/>
      <c r="C511" s="16"/>
      <c r="D511" s="1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16"/>
      <c r="B512" s="5"/>
      <c r="C512" s="16"/>
      <c r="D512" s="1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16"/>
      <c r="B513" s="5"/>
      <c r="C513" s="16"/>
      <c r="D513" s="16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16"/>
      <c r="B514" s="5"/>
      <c r="C514" s="16"/>
      <c r="D514" s="1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16"/>
      <c r="B515" s="5"/>
      <c r="C515" s="16"/>
      <c r="D515" s="1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16"/>
      <c r="B516" s="5"/>
      <c r="C516" s="16"/>
      <c r="D516" s="1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16"/>
      <c r="B517" s="5"/>
      <c r="C517" s="16"/>
      <c r="D517" s="1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16"/>
      <c r="B518" s="5"/>
      <c r="C518" s="16"/>
      <c r="D518" s="1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16"/>
      <c r="B519" s="5"/>
      <c r="C519" s="16"/>
      <c r="D519" s="1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16"/>
      <c r="B520" s="5"/>
      <c r="C520" s="16"/>
      <c r="D520" s="16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16"/>
      <c r="B521" s="5"/>
      <c r="C521" s="16"/>
      <c r="D521" s="1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16"/>
      <c r="B522" s="5"/>
      <c r="C522" s="16"/>
      <c r="D522" s="16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16"/>
      <c r="B523" s="5"/>
      <c r="C523" s="16"/>
      <c r="D523" s="16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16"/>
      <c r="B524" s="5"/>
      <c r="C524" s="16"/>
      <c r="D524" s="1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16"/>
      <c r="B525" s="5"/>
      <c r="C525" s="16"/>
      <c r="D525" s="16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16"/>
      <c r="B526" s="5"/>
      <c r="C526" s="16"/>
      <c r="D526" s="16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16"/>
      <c r="B527" s="5"/>
      <c r="C527" s="16"/>
      <c r="D527" s="16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16"/>
      <c r="B528" s="5"/>
      <c r="C528" s="16"/>
      <c r="D528" s="16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16"/>
      <c r="B529" s="5"/>
      <c r="C529" s="16"/>
      <c r="D529" s="1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16"/>
      <c r="B530" s="5"/>
      <c r="C530" s="16"/>
      <c r="D530" s="16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16"/>
      <c r="B531" s="5"/>
      <c r="C531" s="16"/>
      <c r="D531" s="1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16"/>
      <c r="B532" s="5"/>
      <c r="C532" s="16"/>
      <c r="D532" s="1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16"/>
      <c r="B533" s="5"/>
      <c r="C533" s="16"/>
      <c r="D533" s="16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16"/>
      <c r="B534" s="5"/>
      <c r="C534" s="16"/>
      <c r="D534" s="1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16"/>
      <c r="B535" s="5"/>
      <c r="C535" s="16"/>
      <c r="D535" s="16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16"/>
      <c r="B536" s="5"/>
      <c r="C536" s="16"/>
      <c r="D536" s="1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16"/>
      <c r="B537" s="5"/>
      <c r="C537" s="16"/>
      <c r="D537" s="16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16"/>
      <c r="B538" s="5"/>
      <c r="C538" s="16"/>
      <c r="D538" s="1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16"/>
      <c r="B539" s="5"/>
      <c r="C539" s="16"/>
      <c r="D539" s="1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16"/>
      <c r="B540" s="5"/>
      <c r="C540" s="16"/>
      <c r="D540" s="16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16"/>
      <c r="B541" s="5"/>
      <c r="C541" s="16"/>
      <c r="D541" s="16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16"/>
      <c r="B542" s="5"/>
      <c r="C542" s="16"/>
      <c r="D542" s="1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16"/>
      <c r="B543" s="5"/>
      <c r="C543" s="16"/>
      <c r="D543" s="16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16"/>
      <c r="B544" s="5"/>
      <c r="C544" s="16"/>
      <c r="D544" s="1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16"/>
      <c r="B545" s="5"/>
      <c r="C545" s="16"/>
      <c r="D545" s="16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16"/>
      <c r="B546" s="5"/>
      <c r="C546" s="16"/>
      <c r="D546" s="16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16"/>
      <c r="B547" s="5"/>
      <c r="C547" s="16"/>
      <c r="D547" s="1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16"/>
      <c r="B548" s="5"/>
      <c r="C548" s="16"/>
      <c r="D548" s="1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16"/>
      <c r="B549" s="5"/>
      <c r="C549" s="16"/>
      <c r="D549" s="1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16"/>
      <c r="B550" s="5"/>
      <c r="C550" s="16"/>
      <c r="D550" s="16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16"/>
      <c r="B551" s="5"/>
      <c r="C551" s="16"/>
      <c r="D551" s="16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16"/>
      <c r="B552" s="5"/>
      <c r="C552" s="16"/>
      <c r="D552" s="16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16"/>
      <c r="B553" s="5"/>
      <c r="C553" s="16"/>
      <c r="D553" s="1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16"/>
      <c r="B554" s="5"/>
      <c r="C554" s="16"/>
      <c r="D554" s="1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16"/>
      <c r="B555" s="5"/>
      <c r="C555" s="16"/>
      <c r="D555" s="16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16"/>
      <c r="B556" s="5"/>
      <c r="C556" s="16"/>
      <c r="D556" s="16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16"/>
      <c r="B557" s="5"/>
      <c r="C557" s="16"/>
      <c r="D557" s="16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16"/>
      <c r="B558" s="5"/>
      <c r="C558" s="16"/>
      <c r="D558" s="16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16"/>
      <c r="B559" s="5"/>
      <c r="C559" s="16"/>
      <c r="D559" s="16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16"/>
      <c r="B560" s="5"/>
      <c r="C560" s="16"/>
      <c r="D560" s="16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16"/>
      <c r="B561" s="5"/>
      <c r="C561" s="16"/>
      <c r="D561" s="16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16"/>
      <c r="B562" s="5"/>
      <c r="C562" s="16"/>
      <c r="D562" s="16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16"/>
      <c r="B563" s="5"/>
      <c r="C563" s="16"/>
      <c r="D563" s="16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16"/>
      <c r="B564" s="5"/>
      <c r="C564" s="16"/>
      <c r="D564" s="16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16"/>
      <c r="B565" s="5"/>
      <c r="C565" s="16"/>
      <c r="D565" s="16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16"/>
      <c r="B566" s="5"/>
      <c r="C566" s="16"/>
      <c r="D566" s="16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16"/>
      <c r="B567" s="5"/>
      <c r="C567" s="16"/>
      <c r="D567" s="16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16"/>
      <c r="B568" s="5"/>
      <c r="C568" s="16"/>
      <c r="D568" s="16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16"/>
      <c r="B569" s="5"/>
      <c r="C569" s="16"/>
      <c r="D569" s="16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16"/>
      <c r="B570" s="5"/>
      <c r="C570" s="16"/>
      <c r="D570" s="1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16"/>
      <c r="B571" s="5"/>
      <c r="C571" s="16"/>
      <c r="D571" s="1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16"/>
      <c r="B572" s="5"/>
      <c r="C572" s="16"/>
      <c r="D572" s="1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16"/>
      <c r="B573" s="5"/>
      <c r="C573" s="16"/>
      <c r="D573" s="1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16"/>
      <c r="B574" s="5"/>
      <c r="C574" s="16"/>
      <c r="D574" s="16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16"/>
      <c r="B575" s="5"/>
      <c r="C575" s="16"/>
      <c r="D575" s="1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16"/>
      <c r="B576" s="5"/>
      <c r="C576" s="16"/>
      <c r="D576" s="1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16"/>
      <c r="B577" s="5"/>
      <c r="C577" s="16"/>
      <c r="D577" s="16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16"/>
      <c r="B578" s="5"/>
      <c r="C578" s="16"/>
      <c r="D578" s="16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16"/>
      <c r="B579" s="5"/>
      <c r="C579" s="16"/>
      <c r="D579" s="1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16"/>
      <c r="B580" s="5"/>
      <c r="C580" s="16"/>
      <c r="D580" s="16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16"/>
      <c r="B581" s="5"/>
      <c r="C581" s="16"/>
      <c r="D581" s="1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16"/>
      <c r="B582" s="5"/>
      <c r="C582" s="16"/>
      <c r="D582" s="16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16"/>
      <c r="B583" s="5"/>
      <c r="C583" s="16"/>
      <c r="D583" s="1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16"/>
      <c r="B584" s="5"/>
      <c r="C584" s="16"/>
      <c r="D584" s="16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16"/>
      <c r="B585" s="5"/>
      <c r="C585" s="16"/>
      <c r="D585" s="1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16"/>
      <c r="B586" s="5"/>
      <c r="C586" s="16"/>
      <c r="D586" s="16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16"/>
      <c r="B587" s="5"/>
      <c r="C587" s="16"/>
      <c r="D587" s="1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16"/>
      <c r="B588" s="5"/>
      <c r="C588" s="16"/>
      <c r="D588" s="1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16"/>
      <c r="B589" s="5"/>
      <c r="C589" s="16"/>
      <c r="D589" s="1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16"/>
      <c r="B590" s="5"/>
      <c r="C590" s="16"/>
      <c r="D590" s="16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16"/>
      <c r="B591" s="5"/>
      <c r="C591" s="16"/>
      <c r="D591" s="16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16"/>
      <c r="B592" s="5"/>
      <c r="C592" s="16"/>
      <c r="D592" s="16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16"/>
      <c r="B593" s="5"/>
      <c r="C593" s="16"/>
      <c r="D593" s="16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16"/>
      <c r="B594" s="5"/>
      <c r="C594" s="16"/>
      <c r="D594" s="16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16"/>
      <c r="B595" s="5"/>
      <c r="C595" s="16"/>
      <c r="D595" s="16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16"/>
      <c r="B596" s="5"/>
      <c r="C596" s="16"/>
      <c r="D596" s="16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16"/>
      <c r="B597" s="5"/>
      <c r="C597" s="16"/>
      <c r="D597" s="16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16"/>
      <c r="B598" s="5"/>
      <c r="C598" s="16"/>
      <c r="D598" s="16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16"/>
      <c r="B599" s="5"/>
      <c r="C599" s="16"/>
      <c r="D599" s="16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16"/>
      <c r="B600" s="5"/>
      <c r="C600" s="16"/>
      <c r="D600" s="16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16"/>
      <c r="B601" s="5"/>
      <c r="C601" s="16"/>
      <c r="D601" s="16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16"/>
      <c r="B602" s="5"/>
      <c r="C602" s="16"/>
      <c r="D602" s="16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16"/>
      <c r="B603" s="5"/>
      <c r="C603" s="16"/>
      <c r="D603" s="16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16"/>
      <c r="B604" s="5"/>
      <c r="C604" s="16"/>
      <c r="D604" s="16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16"/>
      <c r="B605" s="5"/>
      <c r="C605" s="16"/>
      <c r="D605" s="16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16"/>
      <c r="B606" s="5"/>
      <c r="C606" s="16"/>
      <c r="D606" s="16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16"/>
      <c r="B607" s="5"/>
      <c r="C607" s="16"/>
      <c r="D607" s="16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16"/>
      <c r="B608" s="5"/>
      <c r="C608" s="16"/>
      <c r="D608" s="16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16"/>
      <c r="B609" s="5"/>
      <c r="C609" s="16"/>
      <c r="D609" s="16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16"/>
      <c r="B610" s="5"/>
      <c r="C610" s="16"/>
      <c r="D610" s="16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16"/>
      <c r="B611" s="5"/>
      <c r="C611" s="16"/>
      <c r="D611" s="16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16"/>
      <c r="B612" s="5"/>
      <c r="C612" s="16"/>
      <c r="D612" s="16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16"/>
      <c r="B613" s="5"/>
      <c r="C613" s="16"/>
      <c r="D613" s="16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16"/>
      <c r="B614" s="5"/>
      <c r="C614" s="16"/>
      <c r="D614" s="16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16"/>
      <c r="B615" s="5"/>
      <c r="C615" s="16"/>
      <c r="D615" s="16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16"/>
      <c r="B616" s="5"/>
      <c r="C616" s="16"/>
      <c r="D616" s="16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16"/>
      <c r="B617" s="5"/>
      <c r="C617" s="16"/>
      <c r="D617" s="16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16"/>
      <c r="B618" s="5"/>
      <c r="C618" s="16"/>
      <c r="D618" s="16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16"/>
      <c r="B619" s="5"/>
      <c r="C619" s="16"/>
      <c r="D619" s="16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16"/>
      <c r="B620" s="5"/>
      <c r="C620" s="16"/>
      <c r="D620" s="16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16"/>
      <c r="B621" s="5"/>
      <c r="C621" s="16"/>
      <c r="D621" s="16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16"/>
      <c r="B622" s="5"/>
      <c r="C622" s="16"/>
      <c r="D622" s="16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16"/>
      <c r="B623" s="5"/>
      <c r="C623" s="16"/>
      <c r="D623" s="16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16"/>
      <c r="B624" s="5"/>
      <c r="C624" s="16"/>
      <c r="D624" s="16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16"/>
      <c r="B625" s="5"/>
      <c r="C625" s="16"/>
      <c r="D625" s="16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16"/>
      <c r="B626" s="5"/>
      <c r="C626" s="16"/>
      <c r="D626" s="16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16"/>
      <c r="B627" s="5"/>
      <c r="C627" s="16"/>
      <c r="D627" s="16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16"/>
      <c r="B628" s="5"/>
      <c r="C628" s="16"/>
      <c r="D628" s="16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16"/>
      <c r="B629" s="5"/>
      <c r="C629" s="16"/>
      <c r="D629" s="16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16"/>
      <c r="B630" s="5"/>
      <c r="C630" s="16"/>
      <c r="D630" s="16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16"/>
      <c r="B631" s="5"/>
      <c r="C631" s="16"/>
      <c r="D631" s="16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16"/>
      <c r="B632" s="5"/>
      <c r="C632" s="16"/>
      <c r="D632" s="16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16"/>
      <c r="B633" s="5"/>
      <c r="C633" s="16"/>
      <c r="D633" s="16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16"/>
      <c r="B634" s="5"/>
      <c r="C634" s="16"/>
      <c r="D634" s="16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16"/>
      <c r="B635" s="5"/>
      <c r="C635" s="16"/>
      <c r="D635" s="16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16"/>
      <c r="B636" s="5"/>
      <c r="C636" s="16"/>
      <c r="D636" s="16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16"/>
      <c r="B637" s="5"/>
      <c r="C637" s="16"/>
      <c r="D637" s="16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16"/>
      <c r="B638" s="5"/>
      <c r="C638" s="16"/>
      <c r="D638" s="16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16"/>
      <c r="B639" s="5"/>
      <c r="C639" s="16"/>
      <c r="D639" s="16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16"/>
      <c r="B640" s="5"/>
      <c r="C640" s="16"/>
      <c r="D640" s="16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16"/>
      <c r="B641" s="5"/>
      <c r="C641" s="16"/>
      <c r="D641" s="16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16"/>
      <c r="B642" s="5"/>
      <c r="C642" s="16"/>
      <c r="D642" s="16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16"/>
      <c r="B643" s="5"/>
      <c r="C643" s="16"/>
      <c r="D643" s="16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16"/>
      <c r="B644" s="5"/>
      <c r="C644" s="16"/>
      <c r="D644" s="16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16"/>
      <c r="B645" s="5"/>
      <c r="C645" s="16"/>
      <c r="D645" s="16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16"/>
      <c r="B646" s="5"/>
      <c r="C646" s="16"/>
      <c r="D646" s="16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16"/>
      <c r="B647" s="5"/>
      <c r="C647" s="16"/>
      <c r="D647" s="16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16"/>
      <c r="B648" s="5"/>
      <c r="C648" s="16"/>
      <c r="D648" s="16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16"/>
      <c r="B649" s="5"/>
      <c r="C649" s="16"/>
      <c r="D649" s="16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16"/>
      <c r="B650" s="5"/>
      <c r="C650" s="16"/>
      <c r="D650" s="16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16"/>
      <c r="B651" s="5"/>
      <c r="C651" s="16"/>
      <c r="D651" s="16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16"/>
      <c r="B652" s="5"/>
      <c r="C652" s="16"/>
      <c r="D652" s="16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16"/>
      <c r="B653" s="5"/>
      <c r="C653" s="16"/>
      <c r="D653" s="16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16"/>
      <c r="B654" s="5"/>
      <c r="C654" s="16"/>
      <c r="D654" s="16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16"/>
      <c r="B655" s="5"/>
      <c r="C655" s="16"/>
      <c r="D655" s="16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16"/>
      <c r="B656" s="5"/>
      <c r="C656" s="16"/>
      <c r="D656" s="16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16"/>
      <c r="B657" s="5"/>
      <c r="C657" s="16"/>
      <c r="D657" s="16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16"/>
      <c r="B658" s="5"/>
      <c r="C658" s="16"/>
      <c r="D658" s="16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16"/>
      <c r="B659" s="5"/>
      <c r="C659" s="16"/>
      <c r="D659" s="16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16"/>
      <c r="B660" s="5"/>
      <c r="C660" s="16"/>
      <c r="D660" s="16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16"/>
      <c r="B661" s="5"/>
      <c r="C661" s="16"/>
      <c r="D661" s="16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16"/>
      <c r="B662" s="5"/>
      <c r="C662" s="16"/>
      <c r="D662" s="16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16"/>
      <c r="B663" s="5"/>
      <c r="C663" s="16"/>
      <c r="D663" s="16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16"/>
      <c r="B664" s="5"/>
      <c r="C664" s="16"/>
      <c r="D664" s="16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16"/>
      <c r="B665" s="5"/>
      <c r="C665" s="16"/>
      <c r="D665" s="16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16"/>
      <c r="B666" s="5"/>
      <c r="C666" s="16"/>
      <c r="D666" s="16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16"/>
      <c r="B667" s="5"/>
      <c r="C667" s="16"/>
      <c r="D667" s="16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16"/>
      <c r="B668" s="5"/>
      <c r="C668" s="16"/>
      <c r="D668" s="16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16"/>
      <c r="B669" s="5"/>
      <c r="C669" s="16"/>
      <c r="D669" s="16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16"/>
      <c r="B670" s="5"/>
      <c r="C670" s="16"/>
      <c r="D670" s="16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16"/>
      <c r="B671" s="5"/>
      <c r="C671" s="16"/>
      <c r="D671" s="16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16"/>
      <c r="B672" s="5"/>
      <c r="C672" s="16"/>
      <c r="D672" s="16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16"/>
      <c r="B673" s="5"/>
      <c r="C673" s="16"/>
      <c r="D673" s="16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16"/>
      <c r="B674" s="5"/>
      <c r="C674" s="16"/>
      <c r="D674" s="16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16"/>
      <c r="B675" s="5"/>
      <c r="C675" s="16"/>
      <c r="D675" s="16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16"/>
      <c r="B676" s="5"/>
      <c r="C676" s="16"/>
      <c r="D676" s="16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16"/>
      <c r="B677" s="5"/>
      <c r="C677" s="16"/>
      <c r="D677" s="16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16"/>
      <c r="B678" s="5"/>
      <c r="C678" s="16"/>
      <c r="D678" s="16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16"/>
      <c r="B679" s="5"/>
      <c r="C679" s="16"/>
      <c r="D679" s="16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16"/>
      <c r="B680" s="5"/>
      <c r="C680" s="16"/>
      <c r="D680" s="16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16"/>
      <c r="B681" s="5"/>
      <c r="C681" s="16"/>
      <c r="D681" s="16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16"/>
      <c r="B682" s="5"/>
      <c r="C682" s="16"/>
      <c r="D682" s="16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16"/>
      <c r="B683" s="5"/>
      <c r="C683" s="16"/>
      <c r="D683" s="16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16"/>
      <c r="B684" s="5"/>
      <c r="C684" s="16"/>
      <c r="D684" s="16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16"/>
      <c r="B685" s="5"/>
      <c r="C685" s="16"/>
      <c r="D685" s="16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16"/>
      <c r="B686" s="5"/>
      <c r="C686" s="16"/>
      <c r="D686" s="16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16"/>
      <c r="B687" s="5"/>
      <c r="C687" s="16"/>
      <c r="D687" s="16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16"/>
      <c r="B688" s="5"/>
      <c r="C688" s="16"/>
      <c r="D688" s="16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16"/>
      <c r="B689" s="5"/>
      <c r="C689" s="16"/>
      <c r="D689" s="16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16"/>
      <c r="B690" s="5"/>
      <c r="C690" s="16"/>
      <c r="D690" s="16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16"/>
      <c r="B691" s="5"/>
      <c r="C691" s="16"/>
      <c r="D691" s="16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16"/>
      <c r="B692" s="5"/>
      <c r="C692" s="16"/>
      <c r="D692" s="16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16"/>
      <c r="B693" s="5"/>
      <c r="C693" s="16"/>
      <c r="D693" s="16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16"/>
      <c r="B694" s="5"/>
      <c r="C694" s="16"/>
      <c r="D694" s="16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16"/>
      <c r="B695" s="5"/>
      <c r="C695" s="16"/>
      <c r="D695" s="16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16"/>
      <c r="B696" s="5"/>
      <c r="C696" s="16"/>
      <c r="D696" s="16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16"/>
      <c r="B697" s="5"/>
      <c r="C697" s="16"/>
      <c r="D697" s="16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16"/>
      <c r="B698" s="5"/>
      <c r="C698" s="16"/>
      <c r="D698" s="16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16"/>
      <c r="B699" s="5"/>
      <c r="C699" s="16"/>
      <c r="D699" s="16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16"/>
      <c r="B700" s="5"/>
      <c r="C700" s="16"/>
      <c r="D700" s="16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16"/>
      <c r="B701" s="5"/>
      <c r="C701" s="16"/>
      <c r="D701" s="16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16"/>
      <c r="B702" s="5"/>
      <c r="C702" s="16"/>
      <c r="D702" s="16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16"/>
      <c r="B703" s="5"/>
      <c r="C703" s="16"/>
      <c r="D703" s="16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16"/>
      <c r="B704" s="5"/>
      <c r="C704" s="16"/>
      <c r="D704" s="16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16"/>
      <c r="B705" s="5"/>
      <c r="C705" s="16"/>
      <c r="D705" s="16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16"/>
      <c r="B706" s="5"/>
      <c r="C706" s="16"/>
      <c r="D706" s="16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16"/>
      <c r="B707" s="5"/>
      <c r="C707" s="16"/>
      <c r="D707" s="16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16"/>
      <c r="B708" s="5"/>
      <c r="C708" s="16"/>
      <c r="D708" s="16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16"/>
      <c r="B709" s="5"/>
      <c r="C709" s="16"/>
      <c r="D709" s="16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16"/>
      <c r="B710" s="5"/>
      <c r="C710" s="16"/>
      <c r="D710" s="16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16"/>
      <c r="B711" s="5"/>
      <c r="C711" s="16"/>
      <c r="D711" s="16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16"/>
      <c r="B712" s="5"/>
      <c r="C712" s="16"/>
      <c r="D712" s="16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16"/>
      <c r="B713" s="5"/>
      <c r="C713" s="16"/>
      <c r="D713" s="16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16"/>
      <c r="B714" s="5"/>
      <c r="C714" s="16"/>
      <c r="D714" s="16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16"/>
      <c r="B715" s="5"/>
      <c r="C715" s="16"/>
      <c r="D715" s="16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16"/>
      <c r="B716" s="5"/>
      <c r="C716" s="16"/>
      <c r="D716" s="16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16"/>
      <c r="B717" s="5"/>
      <c r="C717" s="16"/>
      <c r="D717" s="16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16"/>
      <c r="B718" s="5"/>
      <c r="C718" s="16"/>
      <c r="D718" s="16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16"/>
      <c r="B719" s="5"/>
      <c r="C719" s="16"/>
      <c r="D719" s="16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16"/>
      <c r="B720" s="5"/>
      <c r="C720" s="16"/>
      <c r="D720" s="16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16"/>
      <c r="B721" s="5"/>
      <c r="C721" s="16"/>
      <c r="D721" s="16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16"/>
      <c r="B722" s="5"/>
      <c r="C722" s="16"/>
      <c r="D722" s="16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16"/>
      <c r="B723" s="5"/>
      <c r="C723" s="16"/>
      <c r="D723" s="16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16"/>
      <c r="B724" s="5"/>
      <c r="C724" s="16"/>
      <c r="D724" s="16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16"/>
      <c r="B725" s="5"/>
      <c r="C725" s="16"/>
      <c r="D725" s="16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16"/>
      <c r="B726" s="5"/>
      <c r="C726" s="16"/>
      <c r="D726" s="16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16"/>
      <c r="B727" s="5"/>
      <c r="C727" s="16"/>
      <c r="D727" s="16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16"/>
      <c r="B728" s="5"/>
      <c r="C728" s="16"/>
      <c r="D728" s="16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16"/>
      <c r="B729" s="5"/>
      <c r="C729" s="16"/>
      <c r="D729" s="16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16"/>
      <c r="B730" s="5"/>
      <c r="C730" s="16"/>
      <c r="D730" s="16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16"/>
      <c r="B731" s="5"/>
      <c r="C731" s="16"/>
      <c r="D731" s="16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16"/>
      <c r="B732" s="5"/>
      <c r="C732" s="16"/>
      <c r="D732" s="16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16"/>
      <c r="B733" s="5"/>
      <c r="C733" s="16"/>
      <c r="D733" s="16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16"/>
      <c r="B734" s="5"/>
      <c r="C734" s="16"/>
      <c r="D734" s="16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16"/>
      <c r="B735" s="5"/>
      <c r="C735" s="16"/>
      <c r="D735" s="16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16"/>
      <c r="B736" s="5"/>
      <c r="C736" s="16"/>
      <c r="D736" s="16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16"/>
      <c r="B737" s="5"/>
      <c r="C737" s="16"/>
      <c r="D737" s="16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16"/>
      <c r="B738" s="5"/>
      <c r="C738" s="16"/>
      <c r="D738" s="16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16"/>
      <c r="B739" s="5"/>
      <c r="C739" s="16"/>
      <c r="D739" s="16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16"/>
      <c r="B740" s="5"/>
      <c r="C740" s="16"/>
      <c r="D740" s="16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16"/>
      <c r="B741" s="5"/>
      <c r="C741" s="16"/>
      <c r="D741" s="16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16"/>
      <c r="B742" s="5"/>
      <c r="C742" s="16"/>
      <c r="D742" s="16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16"/>
      <c r="B743" s="5"/>
      <c r="C743" s="16"/>
      <c r="D743" s="16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16"/>
      <c r="B744" s="5"/>
      <c r="C744" s="16"/>
      <c r="D744" s="16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16"/>
      <c r="B745" s="5"/>
      <c r="C745" s="16"/>
      <c r="D745" s="16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16"/>
      <c r="B746" s="5"/>
      <c r="C746" s="16"/>
      <c r="D746" s="16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16"/>
      <c r="B747" s="5"/>
      <c r="C747" s="16"/>
      <c r="D747" s="16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16"/>
      <c r="B748" s="5"/>
      <c r="C748" s="16"/>
      <c r="D748" s="16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16"/>
      <c r="B749" s="5"/>
      <c r="C749" s="16"/>
      <c r="D749" s="16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16"/>
      <c r="B750" s="5"/>
      <c r="C750" s="16"/>
      <c r="D750" s="16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16"/>
      <c r="B751" s="5"/>
      <c r="C751" s="16"/>
      <c r="D751" s="16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16"/>
      <c r="B752" s="5"/>
      <c r="C752" s="16"/>
      <c r="D752" s="16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16"/>
      <c r="B753" s="5"/>
      <c r="C753" s="16"/>
      <c r="D753" s="16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16"/>
      <c r="B754" s="5"/>
      <c r="C754" s="16"/>
      <c r="D754" s="16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16"/>
      <c r="B755" s="5"/>
      <c r="C755" s="16"/>
      <c r="D755" s="16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16"/>
      <c r="B756" s="5"/>
      <c r="C756" s="16"/>
      <c r="D756" s="16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16"/>
      <c r="B757" s="5"/>
      <c r="C757" s="16"/>
      <c r="D757" s="16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16"/>
      <c r="B758" s="5"/>
      <c r="C758" s="16"/>
      <c r="D758" s="16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16"/>
      <c r="B759" s="5"/>
      <c r="C759" s="16"/>
      <c r="D759" s="16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16"/>
      <c r="B760" s="5"/>
      <c r="C760" s="16"/>
      <c r="D760" s="16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16"/>
      <c r="B761" s="5"/>
      <c r="C761" s="16"/>
      <c r="D761" s="16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16"/>
      <c r="B762" s="5"/>
      <c r="C762" s="16"/>
      <c r="D762" s="16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16"/>
      <c r="B763" s="5"/>
      <c r="C763" s="16"/>
      <c r="D763" s="16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16"/>
      <c r="B764" s="5"/>
      <c r="C764" s="16"/>
      <c r="D764" s="16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16"/>
      <c r="B765" s="5"/>
      <c r="C765" s="16"/>
      <c r="D765" s="16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16"/>
      <c r="B766" s="5"/>
      <c r="C766" s="16"/>
      <c r="D766" s="16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16"/>
      <c r="B767" s="5"/>
      <c r="C767" s="16"/>
      <c r="D767" s="16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16"/>
      <c r="B768" s="5"/>
      <c r="C768" s="16"/>
      <c r="D768" s="16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16"/>
      <c r="B769" s="5"/>
      <c r="C769" s="16"/>
      <c r="D769" s="16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16"/>
      <c r="B770" s="5"/>
      <c r="C770" s="16"/>
      <c r="D770" s="16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16"/>
      <c r="B771" s="5"/>
      <c r="C771" s="16"/>
      <c r="D771" s="16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16"/>
      <c r="B772" s="5"/>
      <c r="C772" s="16"/>
      <c r="D772" s="16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16"/>
      <c r="B773" s="5"/>
      <c r="C773" s="16"/>
      <c r="D773" s="16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16"/>
      <c r="B774" s="5"/>
      <c r="C774" s="16"/>
      <c r="D774" s="16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16"/>
      <c r="B775" s="5"/>
      <c r="C775" s="16"/>
      <c r="D775" s="16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16"/>
      <c r="B776" s="5"/>
      <c r="C776" s="16"/>
      <c r="D776" s="16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16"/>
      <c r="B777" s="5"/>
      <c r="C777" s="16"/>
      <c r="D777" s="16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16"/>
      <c r="B778" s="5"/>
      <c r="C778" s="16"/>
      <c r="D778" s="16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16"/>
      <c r="B779" s="5"/>
      <c r="C779" s="16"/>
      <c r="D779" s="16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16"/>
      <c r="B780" s="5"/>
      <c r="C780" s="16"/>
      <c r="D780" s="16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16"/>
      <c r="B781" s="5"/>
      <c r="C781" s="16"/>
      <c r="D781" s="16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16"/>
      <c r="B782" s="5"/>
      <c r="C782" s="16"/>
      <c r="D782" s="16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16"/>
      <c r="B783" s="5"/>
      <c r="C783" s="16"/>
      <c r="D783" s="16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16"/>
      <c r="B784" s="5"/>
      <c r="C784" s="16"/>
      <c r="D784" s="16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16"/>
      <c r="B785" s="5"/>
      <c r="C785" s="16"/>
      <c r="D785" s="16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16"/>
      <c r="B786" s="5"/>
      <c r="C786" s="16"/>
      <c r="D786" s="16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16"/>
      <c r="B787" s="5"/>
      <c r="C787" s="16"/>
      <c r="D787" s="16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16"/>
      <c r="B788" s="5"/>
      <c r="C788" s="16"/>
      <c r="D788" s="16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16"/>
      <c r="B789" s="5"/>
      <c r="C789" s="16"/>
      <c r="D789" s="16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16"/>
      <c r="B790" s="5"/>
      <c r="C790" s="16"/>
      <c r="D790" s="16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16"/>
      <c r="B791" s="5"/>
      <c r="C791" s="16"/>
      <c r="D791" s="16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16"/>
      <c r="B792" s="5"/>
      <c r="C792" s="16"/>
      <c r="D792" s="16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16"/>
      <c r="B793" s="5"/>
      <c r="C793" s="16"/>
      <c r="D793" s="16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16"/>
      <c r="B794" s="5"/>
      <c r="C794" s="16"/>
      <c r="D794" s="16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16"/>
      <c r="B795" s="5"/>
      <c r="C795" s="16"/>
      <c r="D795" s="16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16"/>
      <c r="B796" s="5"/>
      <c r="C796" s="16"/>
      <c r="D796" s="16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16"/>
      <c r="B797" s="5"/>
      <c r="C797" s="16"/>
      <c r="D797" s="16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16"/>
      <c r="B798" s="5"/>
      <c r="C798" s="16"/>
      <c r="D798" s="16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16"/>
      <c r="B799" s="5"/>
      <c r="C799" s="16"/>
      <c r="D799" s="16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16"/>
      <c r="B800" s="5"/>
      <c r="C800" s="16"/>
      <c r="D800" s="16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16"/>
      <c r="B801" s="5"/>
      <c r="C801" s="16"/>
      <c r="D801" s="16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16"/>
      <c r="B802" s="5"/>
      <c r="C802" s="16"/>
      <c r="D802" s="16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16"/>
      <c r="B803" s="5"/>
      <c r="C803" s="16"/>
      <c r="D803" s="16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16"/>
      <c r="B804" s="5"/>
      <c r="C804" s="16"/>
      <c r="D804" s="16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16"/>
      <c r="B805" s="5"/>
      <c r="C805" s="16"/>
      <c r="D805" s="16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16"/>
      <c r="B806" s="5"/>
      <c r="C806" s="16"/>
      <c r="D806" s="16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16"/>
      <c r="B807" s="5"/>
      <c r="C807" s="16"/>
      <c r="D807" s="16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16"/>
      <c r="B808" s="5"/>
      <c r="C808" s="16"/>
      <c r="D808" s="16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16"/>
      <c r="B809" s="5"/>
      <c r="C809" s="16"/>
      <c r="D809" s="16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16"/>
      <c r="B810" s="5"/>
      <c r="C810" s="16"/>
      <c r="D810" s="16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16"/>
      <c r="B811" s="5"/>
      <c r="C811" s="16"/>
      <c r="D811" s="16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16"/>
      <c r="B812" s="5"/>
      <c r="C812" s="16"/>
      <c r="D812" s="16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16"/>
      <c r="B813" s="5"/>
      <c r="C813" s="16"/>
      <c r="D813" s="16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16"/>
      <c r="B814" s="5"/>
      <c r="C814" s="16"/>
      <c r="D814" s="16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16"/>
      <c r="B815" s="5"/>
      <c r="C815" s="16"/>
      <c r="D815" s="16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16"/>
      <c r="B816" s="5"/>
      <c r="C816" s="16"/>
      <c r="D816" s="16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16"/>
      <c r="B817" s="5"/>
      <c r="C817" s="16"/>
      <c r="D817" s="16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16"/>
      <c r="B818" s="5"/>
      <c r="C818" s="16"/>
      <c r="D818" s="16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16"/>
      <c r="B819" s="5"/>
      <c r="C819" s="16"/>
      <c r="D819" s="16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16"/>
      <c r="B820" s="5"/>
      <c r="C820" s="16"/>
      <c r="D820" s="16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16"/>
      <c r="B821" s="5"/>
      <c r="C821" s="16"/>
      <c r="D821" s="16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16"/>
      <c r="B822" s="5"/>
      <c r="C822" s="16"/>
      <c r="D822" s="16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16"/>
      <c r="B823" s="5"/>
      <c r="C823" s="16"/>
      <c r="D823" s="16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16"/>
      <c r="B824" s="5"/>
      <c r="C824" s="16"/>
      <c r="D824" s="16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16"/>
      <c r="B825" s="5"/>
      <c r="C825" s="16"/>
      <c r="D825" s="16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16"/>
      <c r="B826" s="5"/>
      <c r="C826" s="16"/>
      <c r="D826" s="16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16"/>
      <c r="B827" s="5"/>
      <c r="C827" s="16"/>
      <c r="D827" s="16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16"/>
      <c r="B828" s="5"/>
      <c r="C828" s="16"/>
      <c r="D828" s="16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16"/>
      <c r="B829" s="5"/>
      <c r="C829" s="16"/>
      <c r="D829" s="16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16"/>
      <c r="B830" s="5"/>
      <c r="C830" s="16"/>
      <c r="D830" s="16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16"/>
      <c r="B831" s="5"/>
      <c r="C831" s="16"/>
      <c r="D831" s="16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16"/>
      <c r="B832" s="5"/>
      <c r="C832" s="16"/>
      <c r="D832" s="16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16"/>
      <c r="B833" s="5"/>
      <c r="C833" s="16"/>
      <c r="D833" s="16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16"/>
      <c r="B834" s="5"/>
      <c r="C834" s="16"/>
      <c r="D834" s="16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16"/>
      <c r="B835" s="5"/>
      <c r="C835" s="16"/>
      <c r="D835" s="16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16"/>
      <c r="B836" s="5"/>
      <c r="C836" s="16"/>
      <c r="D836" s="16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16"/>
      <c r="B837" s="5"/>
      <c r="C837" s="16"/>
      <c r="D837" s="16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16"/>
      <c r="B838" s="5"/>
      <c r="C838" s="16"/>
      <c r="D838" s="16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16"/>
      <c r="B839" s="5"/>
      <c r="C839" s="16"/>
      <c r="D839" s="16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16"/>
      <c r="B840" s="5"/>
      <c r="C840" s="16"/>
      <c r="D840" s="16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16"/>
      <c r="B841" s="5"/>
      <c r="C841" s="16"/>
      <c r="D841" s="16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16"/>
      <c r="B842" s="5"/>
      <c r="C842" s="16"/>
      <c r="D842" s="16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16"/>
      <c r="B843" s="5"/>
      <c r="C843" s="16"/>
      <c r="D843" s="16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16"/>
      <c r="B844" s="5"/>
      <c r="C844" s="16"/>
      <c r="D844" s="16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16"/>
      <c r="B845" s="5"/>
      <c r="C845" s="16"/>
      <c r="D845" s="16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16"/>
      <c r="B846" s="5"/>
      <c r="C846" s="16"/>
      <c r="D846" s="16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16"/>
      <c r="B847" s="5"/>
      <c r="C847" s="16"/>
      <c r="D847" s="16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16"/>
      <c r="B848" s="5"/>
      <c r="C848" s="16"/>
      <c r="D848" s="16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16"/>
      <c r="B849" s="5"/>
      <c r="C849" s="16"/>
      <c r="D849" s="16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16"/>
      <c r="B850" s="5"/>
      <c r="C850" s="16"/>
      <c r="D850" s="16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16"/>
      <c r="B851" s="5"/>
      <c r="C851" s="16"/>
      <c r="D851" s="16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16"/>
      <c r="B852" s="5"/>
      <c r="C852" s="16"/>
      <c r="D852" s="16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16"/>
      <c r="B853" s="5"/>
      <c r="C853" s="16"/>
      <c r="D853" s="16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16"/>
      <c r="B854" s="5"/>
      <c r="C854" s="16"/>
      <c r="D854" s="16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16"/>
      <c r="B855" s="5"/>
      <c r="C855" s="16"/>
      <c r="D855" s="16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16"/>
      <c r="B856" s="5"/>
      <c r="C856" s="16"/>
      <c r="D856" s="16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16"/>
      <c r="B857" s="5"/>
      <c r="C857" s="16"/>
      <c r="D857" s="16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16"/>
      <c r="B858" s="5"/>
      <c r="C858" s="16"/>
      <c r="D858" s="16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16"/>
      <c r="B859" s="5"/>
      <c r="C859" s="16"/>
      <c r="D859" s="16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16"/>
      <c r="B860" s="5"/>
      <c r="C860" s="16"/>
      <c r="D860" s="16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16"/>
      <c r="B861" s="5"/>
      <c r="C861" s="16"/>
      <c r="D861" s="16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16"/>
      <c r="B862" s="5"/>
      <c r="C862" s="16"/>
      <c r="D862" s="16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16"/>
      <c r="B863" s="5"/>
      <c r="C863" s="16"/>
      <c r="D863" s="16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16"/>
      <c r="B864" s="5"/>
      <c r="C864" s="16"/>
      <c r="D864" s="16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16"/>
      <c r="B865" s="5"/>
      <c r="C865" s="16"/>
      <c r="D865" s="16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16"/>
      <c r="B866" s="5"/>
      <c r="C866" s="16"/>
      <c r="D866" s="16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16"/>
      <c r="B867" s="5"/>
      <c r="C867" s="16"/>
      <c r="D867" s="16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16"/>
      <c r="B868" s="5"/>
      <c r="C868" s="16"/>
      <c r="D868" s="16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16"/>
      <c r="B869" s="5"/>
      <c r="C869" s="16"/>
      <c r="D869" s="16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16"/>
      <c r="B870" s="5"/>
      <c r="C870" s="16"/>
      <c r="D870" s="16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16"/>
      <c r="B871" s="5"/>
      <c r="C871" s="16"/>
      <c r="D871" s="16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16"/>
      <c r="B872" s="5"/>
      <c r="C872" s="16"/>
      <c r="D872" s="16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16"/>
      <c r="B873" s="5"/>
      <c r="C873" s="16"/>
      <c r="D873" s="16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16"/>
      <c r="B874" s="5"/>
      <c r="C874" s="16"/>
      <c r="D874" s="16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16"/>
      <c r="B875" s="5"/>
      <c r="C875" s="16"/>
      <c r="D875" s="16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16"/>
      <c r="B876" s="5"/>
      <c r="C876" s="16"/>
      <c r="D876" s="16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16"/>
      <c r="B877" s="5"/>
      <c r="C877" s="16"/>
      <c r="D877" s="16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16"/>
      <c r="B878" s="5"/>
      <c r="C878" s="16"/>
      <c r="D878" s="16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16"/>
      <c r="B879" s="5"/>
      <c r="C879" s="16"/>
      <c r="D879" s="16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16"/>
      <c r="B880" s="5"/>
      <c r="C880" s="16"/>
      <c r="D880" s="16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16"/>
      <c r="B881" s="5"/>
      <c r="C881" s="16"/>
      <c r="D881" s="16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16"/>
      <c r="B882" s="5"/>
      <c r="C882" s="16"/>
      <c r="D882" s="16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16"/>
      <c r="B883" s="5"/>
      <c r="C883" s="16"/>
      <c r="D883" s="16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16"/>
      <c r="B884" s="5"/>
      <c r="C884" s="16"/>
      <c r="D884" s="16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16"/>
      <c r="B885" s="5"/>
      <c r="C885" s="16"/>
      <c r="D885" s="16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16"/>
      <c r="B886" s="5"/>
      <c r="C886" s="16"/>
      <c r="D886" s="16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16"/>
      <c r="B887" s="5"/>
      <c r="C887" s="16"/>
      <c r="D887" s="16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16"/>
      <c r="B888" s="5"/>
      <c r="C888" s="16"/>
      <c r="D888" s="16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16"/>
      <c r="B889" s="5"/>
      <c r="C889" s="16"/>
      <c r="D889" s="16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16"/>
      <c r="B890" s="5"/>
      <c r="C890" s="16"/>
      <c r="D890" s="16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16"/>
      <c r="B891" s="5"/>
      <c r="C891" s="16"/>
      <c r="D891" s="16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16"/>
      <c r="B892" s="5"/>
      <c r="C892" s="16"/>
      <c r="D892" s="16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16"/>
      <c r="B893" s="5"/>
      <c r="C893" s="16"/>
      <c r="D893" s="1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16"/>
      <c r="B894" s="5"/>
      <c r="C894" s="16"/>
      <c r="D894" s="1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16"/>
      <c r="B895" s="5"/>
      <c r="C895" s="16"/>
      <c r="D895" s="1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16"/>
      <c r="B896" s="5"/>
      <c r="C896" s="16"/>
      <c r="D896" s="1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16"/>
      <c r="B897" s="5"/>
      <c r="C897" s="16"/>
      <c r="D897" s="1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16"/>
      <c r="B898" s="5"/>
      <c r="C898" s="16"/>
      <c r="D898" s="1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16"/>
      <c r="B899" s="5"/>
      <c r="C899" s="16"/>
      <c r="D899" s="1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16"/>
      <c r="B900" s="5"/>
      <c r="C900" s="16"/>
      <c r="D900" s="1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16"/>
      <c r="B901" s="5"/>
      <c r="C901" s="16"/>
      <c r="D901" s="1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16"/>
      <c r="B902" s="5"/>
      <c r="C902" s="16"/>
      <c r="D902" s="1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16"/>
      <c r="B903" s="5"/>
      <c r="C903" s="16"/>
      <c r="D903" s="1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16"/>
      <c r="B904" s="5"/>
      <c r="C904" s="16"/>
      <c r="D904" s="16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16"/>
      <c r="B905" s="5"/>
      <c r="C905" s="16"/>
      <c r="D905" s="16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16"/>
      <c r="B906" s="5"/>
      <c r="C906" s="16"/>
      <c r="D906" s="1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16"/>
      <c r="B907" s="5"/>
      <c r="C907" s="16"/>
      <c r="D907" s="1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16"/>
      <c r="B908" s="5"/>
      <c r="C908" s="16"/>
      <c r="D908" s="16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16"/>
      <c r="B909" s="5"/>
      <c r="C909" s="16"/>
      <c r="D909" s="16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16"/>
      <c r="B910" s="5"/>
      <c r="C910" s="16"/>
      <c r="D910" s="16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16"/>
      <c r="B911" s="5"/>
      <c r="C911" s="16"/>
      <c r="D911" s="1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16"/>
      <c r="B912" s="5"/>
      <c r="C912" s="16"/>
      <c r="D912" s="1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16"/>
      <c r="B913" s="5"/>
      <c r="C913" s="16"/>
      <c r="D913" s="1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16"/>
      <c r="B914" s="5"/>
      <c r="C914" s="16"/>
      <c r="D914" s="1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16"/>
      <c r="B915" s="5"/>
      <c r="C915" s="16"/>
      <c r="D915" s="16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16"/>
      <c r="B916" s="5"/>
      <c r="C916" s="16"/>
      <c r="D916" s="1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16"/>
      <c r="B917" s="5"/>
      <c r="C917" s="16"/>
      <c r="D917" s="16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16"/>
      <c r="B918" s="5"/>
      <c r="C918" s="16"/>
      <c r="D918" s="16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16"/>
      <c r="B919" s="5"/>
      <c r="C919" s="16"/>
      <c r="D919" s="1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16"/>
      <c r="B920" s="5"/>
      <c r="C920" s="16"/>
      <c r="D920" s="1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16"/>
      <c r="B921" s="5"/>
      <c r="C921" s="16"/>
      <c r="D921" s="16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16"/>
      <c r="B922" s="5"/>
      <c r="C922" s="16"/>
      <c r="D922" s="1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16"/>
      <c r="B923" s="5"/>
      <c r="C923" s="16"/>
      <c r="D923" s="16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16"/>
      <c r="B924" s="5"/>
      <c r="C924" s="16"/>
      <c r="D924" s="1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16"/>
      <c r="B925" s="5"/>
      <c r="C925" s="16"/>
      <c r="D925" s="16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16"/>
      <c r="B926" s="5"/>
      <c r="C926" s="16"/>
      <c r="D926" s="1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16"/>
      <c r="B927" s="5"/>
      <c r="C927" s="16"/>
      <c r="D927" s="16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16"/>
      <c r="B928" s="5"/>
      <c r="C928" s="16"/>
      <c r="D928" s="1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16"/>
      <c r="B929" s="5"/>
      <c r="C929" s="16"/>
      <c r="D929" s="16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16"/>
      <c r="B930" s="5"/>
      <c r="C930" s="16"/>
      <c r="D930" s="1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16"/>
      <c r="B931" s="5"/>
      <c r="C931" s="16"/>
      <c r="D931" s="16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16"/>
      <c r="B932" s="5"/>
      <c r="C932" s="16"/>
      <c r="D932" s="1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16"/>
      <c r="B933" s="5"/>
      <c r="C933" s="16"/>
      <c r="D933" s="1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16"/>
      <c r="B934" s="5"/>
      <c r="C934" s="16"/>
      <c r="D934" s="1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16"/>
      <c r="B935" s="5"/>
      <c r="C935" s="16"/>
      <c r="D935" s="16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16"/>
      <c r="B936" s="5"/>
      <c r="C936" s="16"/>
      <c r="D936" s="16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16"/>
      <c r="B937" s="5"/>
      <c r="C937" s="16"/>
      <c r="D937" s="16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16"/>
      <c r="B938" s="5"/>
      <c r="C938" s="16"/>
      <c r="D938" s="1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16"/>
      <c r="B939" s="5"/>
      <c r="C939" s="16"/>
      <c r="D939" s="16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16"/>
      <c r="B940" s="5"/>
      <c r="C940" s="16"/>
      <c r="D940" s="1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16"/>
      <c r="B941" s="5"/>
      <c r="C941" s="16"/>
      <c r="D941" s="16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16"/>
      <c r="B942" s="5"/>
      <c r="C942" s="16"/>
      <c r="D942" s="16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16"/>
      <c r="B943" s="5"/>
      <c r="C943" s="16"/>
      <c r="D943" s="16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16"/>
      <c r="B944" s="5"/>
      <c r="C944" s="16"/>
      <c r="D944" s="1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16"/>
      <c r="B945" s="5"/>
      <c r="C945" s="16"/>
      <c r="D945" s="16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16"/>
      <c r="B946" s="5"/>
      <c r="C946" s="16"/>
      <c r="D946" s="16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16"/>
      <c r="B947" s="5"/>
      <c r="C947" s="16"/>
      <c r="D947" s="16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16"/>
      <c r="B948" s="5"/>
      <c r="C948" s="16"/>
      <c r="D948" s="16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16"/>
      <c r="B949" s="5"/>
      <c r="C949" s="16"/>
      <c r="D949" s="16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16"/>
      <c r="B950" s="5"/>
      <c r="C950" s="16"/>
      <c r="D950" s="1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16"/>
      <c r="B951" s="5"/>
      <c r="C951" s="16"/>
      <c r="D951" s="16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16"/>
      <c r="B952" s="5"/>
      <c r="C952" s="16"/>
      <c r="D952" s="16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16"/>
      <c r="B953" s="5"/>
      <c r="C953" s="16"/>
      <c r="D953" s="1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16"/>
      <c r="B954" s="5"/>
      <c r="C954" s="16"/>
      <c r="D954" s="16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16"/>
      <c r="B955" s="5"/>
      <c r="C955" s="16"/>
      <c r="D955" s="1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16"/>
      <c r="B956" s="5"/>
      <c r="C956" s="16"/>
      <c r="D956" s="16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16"/>
      <c r="B957" s="5"/>
      <c r="C957" s="16"/>
      <c r="D957" s="16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16"/>
      <c r="B958" s="5"/>
      <c r="C958" s="16"/>
      <c r="D958" s="16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16"/>
      <c r="B959" s="5"/>
      <c r="C959" s="16"/>
      <c r="D959" s="1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16"/>
      <c r="B960" s="5"/>
      <c r="C960" s="16"/>
      <c r="D960" s="1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16"/>
      <c r="B961" s="5"/>
      <c r="C961" s="16"/>
      <c r="D961" s="16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16"/>
      <c r="B962" s="5"/>
      <c r="C962" s="16"/>
      <c r="D962" s="16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16"/>
      <c r="B963" s="5"/>
      <c r="C963" s="16"/>
      <c r="D963" s="1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16"/>
      <c r="B964" s="5"/>
      <c r="C964" s="16"/>
      <c r="D964" s="1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16"/>
      <c r="B965" s="5"/>
      <c r="C965" s="16"/>
      <c r="D965" s="1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16"/>
      <c r="B966" s="5"/>
      <c r="C966" s="16"/>
      <c r="D966" s="1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16"/>
      <c r="B967" s="5"/>
      <c r="C967" s="16"/>
      <c r="D967" s="1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16"/>
      <c r="B968" s="5"/>
      <c r="C968" s="16"/>
      <c r="D968" s="1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16"/>
      <c r="B969" s="5"/>
      <c r="C969" s="16"/>
      <c r="D969" s="16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16"/>
      <c r="B970" s="5"/>
      <c r="C970" s="16"/>
      <c r="D970" s="1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16"/>
      <c r="B971" s="5"/>
      <c r="C971" s="16"/>
      <c r="D971" s="16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16"/>
      <c r="B972" s="5"/>
      <c r="C972" s="16"/>
      <c r="D972" s="16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16"/>
      <c r="B973" s="5"/>
      <c r="C973" s="16"/>
      <c r="D973" s="16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16"/>
      <c r="B974" s="5"/>
      <c r="C974" s="16"/>
      <c r="D974" s="16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16"/>
      <c r="B975" s="5"/>
      <c r="C975" s="16"/>
      <c r="D975" s="16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16"/>
      <c r="B976" s="5"/>
      <c r="C976" s="16"/>
      <c r="D976" s="16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16"/>
      <c r="B977" s="5"/>
      <c r="C977" s="16"/>
      <c r="D977" s="16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16"/>
      <c r="B978" s="5"/>
      <c r="C978" s="16"/>
      <c r="D978" s="16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16"/>
      <c r="B979" s="5"/>
      <c r="C979" s="16"/>
      <c r="D979" s="16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16"/>
      <c r="B980" s="5"/>
      <c r="C980" s="16"/>
      <c r="D980" s="16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16"/>
      <c r="B981" s="5"/>
      <c r="C981" s="16"/>
      <c r="D981" s="1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16"/>
      <c r="B982" s="5"/>
      <c r="C982" s="16"/>
      <c r="D982" s="16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16"/>
      <c r="B983" s="5"/>
      <c r="C983" s="16"/>
      <c r="D983" s="16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16"/>
      <c r="B984" s="5"/>
      <c r="C984" s="16"/>
      <c r="D984" s="16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16"/>
      <c r="B985" s="5"/>
      <c r="C985" s="16"/>
      <c r="D985" s="1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16"/>
      <c r="B986" s="5"/>
      <c r="C986" s="16"/>
      <c r="D986" s="16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16"/>
      <c r="B987" s="5"/>
      <c r="C987" s="16"/>
      <c r="D987" s="1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16"/>
      <c r="B988" s="5"/>
      <c r="C988" s="16"/>
      <c r="D988" s="1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16"/>
      <c r="B989" s="5"/>
      <c r="C989" s="16"/>
      <c r="D989" s="16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16"/>
      <c r="B990" s="5"/>
      <c r="C990" s="16"/>
      <c r="D990" s="16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16"/>
      <c r="B991" s="5"/>
      <c r="C991" s="16"/>
      <c r="D991" s="16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16"/>
      <c r="B992" s="5"/>
      <c r="C992" s="16"/>
      <c r="D992" s="16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16"/>
      <c r="B993" s="5"/>
      <c r="C993" s="16"/>
      <c r="D993" s="16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16"/>
      <c r="B994" s="5"/>
      <c r="C994" s="16"/>
      <c r="D994" s="16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16"/>
      <c r="B995" s="5"/>
      <c r="C995" s="16"/>
      <c r="D995" s="16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16"/>
      <c r="B996" s="5"/>
      <c r="C996" s="16"/>
      <c r="D996" s="16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16"/>
      <c r="B997" s="5"/>
      <c r="C997" s="16"/>
      <c r="D997" s="16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16"/>
      <c r="B998" s="5"/>
      <c r="C998" s="16"/>
      <c r="D998" s="16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16"/>
      <c r="B999" s="5"/>
      <c r="C999" s="16"/>
      <c r="D999" s="16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>
      <c r="A1000" s="16"/>
      <c r="B1000" s="5"/>
      <c r="C1000" s="16"/>
      <c r="D1000" s="16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>
      <c r="A1001" s="16"/>
      <c r="B1001" s="5"/>
      <c r="C1001" s="16"/>
      <c r="D1001" s="16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>
      <c r="A1002" s="16"/>
      <c r="B1002" s="5"/>
      <c r="C1002" s="16"/>
      <c r="D1002" s="16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>
      <c r="A1003" s="16"/>
      <c r="B1003" s="5"/>
      <c r="C1003" s="16"/>
      <c r="D1003" s="16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</row>
    <row r="1004">
      <c r="A1004" s="16"/>
      <c r="B1004" s="5"/>
      <c r="C1004" s="16"/>
      <c r="D1004" s="16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</row>
    <row r="1005">
      <c r="A1005" s="16"/>
      <c r="B1005" s="5"/>
      <c r="C1005" s="16"/>
      <c r="D1005" s="16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</row>
    <row r="1006">
      <c r="A1006" s="16"/>
      <c r="B1006" s="5"/>
      <c r="C1006" s="16"/>
      <c r="D1006" s="16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</row>
    <row r="1007">
      <c r="A1007" s="16"/>
      <c r="B1007" s="5"/>
      <c r="C1007" s="16"/>
      <c r="D1007" s="16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</row>
    <row r="1008">
      <c r="A1008" s="16"/>
      <c r="B1008" s="5"/>
      <c r="C1008" s="16"/>
      <c r="D1008" s="16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</row>
    <row r="1009">
      <c r="A1009" s="16"/>
      <c r="B1009" s="5"/>
      <c r="C1009" s="16"/>
      <c r="D1009" s="16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</row>
    <row r="1010">
      <c r="A1010" s="16"/>
      <c r="B1010" s="5"/>
      <c r="C1010" s="16"/>
      <c r="D1010" s="16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</row>
    <row r="1011">
      <c r="A1011" s="16"/>
      <c r="B1011" s="5"/>
      <c r="C1011" s="16"/>
      <c r="D1011" s="16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</row>
    <row r="1012">
      <c r="A1012" s="16"/>
      <c r="B1012" s="5"/>
      <c r="C1012" s="16"/>
      <c r="D1012" s="16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</row>
    <row r="1013">
      <c r="A1013" s="16"/>
      <c r="B1013" s="5"/>
      <c r="C1013" s="16"/>
      <c r="D1013" s="16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</row>
    <row r="1014">
      <c r="A1014" s="16"/>
      <c r="B1014" s="5"/>
      <c r="C1014" s="16"/>
      <c r="D1014" s="16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</row>
    <row r="1015">
      <c r="A1015" s="16"/>
      <c r="B1015" s="5"/>
      <c r="C1015" s="16"/>
      <c r="D1015" s="16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</row>
    <row r="1016">
      <c r="A1016" s="16"/>
      <c r="B1016" s="5"/>
      <c r="C1016" s="16"/>
      <c r="D1016" s="16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</row>
    <row r="1017">
      <c r="A1017" s="16"/>
      <c r="B1017" s="5"/>
      <c r="C1017" s="16"/>
      <c r="D1017" s="16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</row>
    <row r="1018">
      <c r="A1018" s="16"/>
      <c r="B1018" s="5"/>
      <c r="C1018" s="16"/>
      <c r="D1018" s="16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</row>
    <row r="1019">
      <c r="A1019" s="16"/>
      <c r="B1019" s="5"/>
      <c r="C1019" s="16"/>
      <c r="D1019" s="16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</row>
    <row r="1020">
      <c r="A1020" s="16"/>
      <c r="B1020" s="5"/>
      <c r="C1020" s="16"/>
      <c r="D1020" s="16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</row>
    <row r="1021">
      <c r="A1021" s="16"/>
      <c r="B1021" s="5"/>
      <c r="C1021" s="16"/>
      <c r="D1021" s="16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</row>
  </sheetData>
  <mergeCells count="1">
    <mergeCell ref="A25:B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25"/>
    <col customWidth="1" min="4" max="4" width="20.38"/>
    <col customWidth="1" min="5" max="5" width="17.38"/>
    <col customWidth="1" min="6" max="7" width="25.63"/>
  </cols>
  <sheetData>
    <row r="1">
      <c r="A1" s="18" t="s">
        <v>69</v>
      </c>
      <c r="B1" s="19" t="s">
        <v>70</v>
      </c>
      <c r="C1" s="19" t="s">
        <v>71</v>
      </c>
      <c r="D1" s="19" t="s">
        <v>72</v>
      </c>
      <c r="E1" s="19" t="s">
        <v>3</v>
      </c>
      <c r="F1" s="19" t="s">
        <v>73</v>
      </c>
      <c r="G1" s="19" t="s">
        <v>74</v>
      </c>
      <c r="H1" s="20" t="s">
        <v>74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>
      <c r="A2" s="3">
        <v>1.0</v>
      </c>
      <c r="B2" s="3" t="s">
        <v>5</v>
      </c>
      <c r="C2" s="3" t="s">
        <v>75</v>
      </c>
      <c r="D2" s="3" t="s">
        <v>7</v>
      </c>
      <c r="E2" s="22" t="s">
        <v>76</v>
      </c>
      <c r="F2" s="13" t="s">
        <v>77</v>
      </c>
      <c r="G2" s="3" t="s">
        <v>78</v>
      </c>
      <c r="H2" s="23" t="s">
        <v>79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24">
        <v>2.0</v>
      </c>
      <c r="B3" s="24" t="s">
        <v>8</v>
      </c>
      <c r="C3" s="24" t="s">
        <v>80</v>
      </c>
      <c r="D3" s="24" t="s">
        <v>10</v>
      </c>
      <c r="E3" s="25" t="s">
        <v>81</v>
      </c>
      <c r="F3" s="24" t="s">
        <v>82</v>
      </c>
      <c r="G3" s="24" t="s">
        <v>83</v>
      </c>
      <c r="H3" s="23" t="s">
        <v>79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3">
        <v>3.0</v>
      </c>
      <c r="B4" s="3" t="s">
        <v>11</v>
      </c>
      <c r="C4" s="3" t="s">
        <v>84</v>
      </c>
      <c r="D4" s="3" t="s">
        <v>13</v>
      </c>
      <c r="E4" s="22" t="s">
        <v>85</v>
      </c>
      <c r="F4" s="26" t="s">
        <v>86</v>
      </c>
      <c r="G4" s="26" t="s">
        <v>87</v>
      </c>
      <c r="H4" s="23" t="s">
        <v>79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24">
        <v>4.0</v>
      </c>
      <c r="B5" s="24" t="s">
        <v>14</v>
      </c>
      <c r="C5" s="24" t="s">
        <v>88</v>
      </c>
      <c r="D5" s="24" t="s">
        <v>16</v>
      </c>
      <c r="E5" s="25" t="s">
        <v>89</v>
      </c>
      <c r="F5" s="24" t="s">
        <v>90</v>
      </c>
      <c r="G5" s="27" t="s">
        <v>91</v>
      </c>
      <c r="H5" s="23" t="s">
        <v>79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3">
        <v>5.0</v>
      </c>
      <c r="B6" s="3" t="s">
        <v>17</v>
      </c>
      <c r="C6" s="3" t="s">
        <v>92</v>
      </c>
      <c r="D6" s="3" t="s">
        <v>19</v>
      </c>
      <c r="E6" s="22" t="s">
        <v>93</v>
      </c>
      <c r="F6" s="3" t="s">
        <v>94</v>
      </c>
      <c r="G6" s="13" t="s">
        <v>95</v>
      </c>
      <c r="H6" s="23" t="s">
        <v>79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24">
        <v>6.0</v>
      </c>
      <c r="B7" s="24" t="s">
        <v>20</v>
      </c>
      <c r="C7" s="24" t="s">
        <v>96</v>
      </c>
      <c r="D7" s="24" t="s">
        <v>7</v>
      </c>
      <c r="E7" s="25" t="s">
        <v>76</v>
      </c>
      <c r="F7" s="24" t="s">
        <v>97</v>
      </c>
      <c r="G7" s="24" t="s">
        <v>98</v>
      </c>
      <c r="H7" s="23" t="s">
        <v>79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3">
        <v>7.0</v>
      </c>
      <c r="B8" s="3" t="s">
        <v>22</v>
      </c>
      <c r="C8" s="3" t="s">
        <v>99</v>
      </c>
      <c r="D8" s="3" t="s">
        <v>7</v>
      </c>
      <c r="E8" s="22" t="s">
        <v>76</v>
      </c>
      <c r="F8" s="3" t="s">
        <v>100</v>
      </c>
      <c r="G8" s="3" t="s">
        <v>101</v>
      </c>
      <c r="H8" s="23" t="s">
        <v>79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24">
        <v>8.0</v>
      </c>
      <c r="B9" s="24" t="s">
        <v>24</v>
      </c>
      <c r="C9" s="24" t="s">
        <v>102</v>
      </c>
      <c r="D9" s="24" t="s">
        <v>7</v>
      </c>
      <c r="E9" s="25" t="s">
        <v>76</v>
      </c>
      <c r="F9" s="24" t="s">
        <v>103</v>
      </c>
      <c r="G9" s="24" t="s">
        <v>104</v>
      </c>
      <c r="H9" s="23" t="s">
        <v>79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3">
        <v>9.0</v>
      </c>
      <c r="B10" s="3" t="s">
        <v>26</v>
      </c>
      <c r="C10" s="3" t="s">
        <v>105</v>
      </c>
      <c r="D10" s="3" t="s">
        <v>10</v>
      </c>
      <c r="E10" s="22" t="s">
        <v>81</v>
      </c>
      <c r="F10" s="3" t="s">
        <v>106</v>
      </c>
      <c r="G10" s="3" t="s">
        <v>107</v>
      </c>
      <c r="H10" s="23" t="s">
        <v>79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24">
        <v>10.0</v>
      </c>
      <c r="B11" s="24" t="s">
        <v>28</v>
      </c>
      <c r="C11" s="24" t="s">
        <v>108</v>
      </c>
      <c r="D11" s="24" t="s">
        <v>19</v>
      </c>
      <c r="E11" s="25" t="s">
        <v>93</v>
      </c>
      <c r="F11" s="24" t="s">
        <v>109</v>
      </c>
      <c r="G11" s="24" t="s">
        <v>110</v>
      </c>
      <c r="H11" s="23" t="s">
        <v>79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3">
        <v>11.0</v>
      </c>
      <c r="B12" s="3" t="s">
        <v>30</v>
      </c>
      <c r="C12" s="3" t="s">
        <v>111</v>
      </c>
      <c r="D12" s="3" t="s">
        <v>10</v>
      </c>
      <c r="E12" s="22" t="s">
        <v>81</v>
      </c>
      <c r="F12" s="3" t="s">
        <v>112</v>
      </c>
      <c r="G12" s="3" t="s">
        <v>113</v>
      </c>
      <c r="H12" s="23" t="s">
        <v>79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24">
        <v>12.0</v>
      </c>
      <c r="B13" s="24" t="s">
        <v>32</v>
      </c>
      <c r="C13" s="24" t="s">
        <v>114</v>
      </c>
      <c r="D13" s="24" t="s">
        <v>34</v>
      </c>
      <c r="E13" s="25" t="s">
        <v>115</v>
      </c>
      <c r="F13" s="28" t="s">
        <v>116</v>
      </c>
      <c r="G13" s="24" t="s">
        <v>117</v>
      </c>
      <c r="H13" s="23" t="s">
        <v>79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3">
        <v>13.0</v>
      </c>
      <c r="B14" s="3" t="s">
        <v>35</v>
      </c>
      <c r="C14" s="3" t="s">
        <v>118</v>
      </c>
      <c r="D14" s="3" t="s">
        <v>7</v>
      </c>
      <c r="E14" s="22" t="s">
        <v>76</v>
      </c>
      <c r="F14" s="3" t="s">
        <v>119</v>
      </c>
      <c r="G14" s="3" t="s">
        <v>120</v>
      </c>
      <c r="H14" s="23" t="s">
        <v>79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24">
        <v>14.0</v>
      </c>
      <c r="B15" s="24" t="s">
        <v>37</v>
      </c>
      <c r="C15" s="24" t="s">
        <v>121</v>
      </c>
      <c r="D15" s="24" t="s">
        <v>39</v>
      </c>
      <c r="E15" s="25" t="s">
        <v>122</v>
      </c>
      <c r="F15" s="24" t="s">
        <v>123</v>
      </c>
      <c r="G15" s="24" t="s">
        <v>124</v>
      </c>
      <c r="H15" s="23" t="s">
        <v>79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3">
        <v>15.0</v>
      </c>
      <c r="B16" s="3" t="s">
        <v>40</v>
      </c>
      <c r="C16" s="3" t="s">
        <v>125</v>
      </c>
      <c r="D16" s="3" t="s">
        <v>7</v>
      </c>
      <c r="E16" s="22" t="s">
        <v>76</v>
      </c>
      <c r="F16" s="3" t="s">
        <v>126</v>
      </c>
      <c r="G16" s="3" t="s">
        <v>127</v>
      </c>
      <c r="H16" s="23" t="s">
        <v>79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24">
        <v>16.0</v>
      </c>
      <c r="B17" s="24" t="s">
        <v>42</v>
      </c>
      <c r="C17" s="24" t="s">
        <v>128</v>
      </c>
      <c r="D17" s="24" t="s">
        <v>7</v>
      </c>
      <c r="E17" s="25" t="s">
        <v>76</v>
      </c>
      <c r="F17" s="24" t="s">
        <v>129</v>
      </c>
      <c r="G17" s="24" t="s">
        <v>130</v>
      </c>
      <c r="H17" s="23" t="s">
        <v>79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3">
        <v>17.0</v>
      </c>
      <c r="B18" s="3" t="s">
        <v>44</v>
      </c>
      <c r="C18" s="3" t="s">
        <v>131</v>
      </c>
      <c r="D18" s="3" t="s">
        <v>7</v>
      </c>
      <c r="E18" s="22" t="s">
        <v>76</v>
      </c>
      <c r="F18" s="3" t="s">
        <v>132</v>
      </c>
      <c r="G18" s="3" t="s">
        <v>133</v>
      </c>
      <c r="H18" s="23" t="s">
        <v>79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24">
        <v>18.0</v>
      </c>
      <c r="B19" s="24" t="s">
        <v>46</v>
      </c>
      <c r="C19" s="24" t="s">
        <v>134</v>
      </c>
      <c r="D19" s="24" t="s">
        <v>34</v>
      </c>
      <c r="E19" s="25" t="s">
        <v>115</v>
      </c>
      <c r="F19" s="24" t="s">
        <v>135</v>
      </c>
      <c r="G19" s="28" t="s">
        <v>136</v>
      </c>
      <c r="H19" s="23" t="s">
        <v>79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3">
        <v>19.0</v>
      </c>
      <c r="B20" s="3" t="s">
        <v>48</v>
      </c>
      <c r="C20" s="3" t="s">
        <v>137</v>
      </c>
      <c r="D20" s="3" t="s">
        <v>39</v>
      </c>
      <c r="E20" s="22" t="s">
        <v>122</v>
      </c>
      <c r="F20" s="3" t="s">
        <v>138</v>
      </c>
      <c r="G20" s="3" t="s">
        <v>139</v>
      </c>
      <c r="H20" s="23" t="s">
        <v>79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24">
        <v>20.0</v>
      </c>
      <c r="B21" s="24" t="s">
        <v>50</v>
      </c>
      <c r="C21" s="24" t="s">
        <v>140</v>
      </c>
      <c r="D21" s="24" t="s">
        <v>52</v>
      </c>
      <c r="E21" s="25" t="s">
        <v>141</v>
      </c>
      <c r="F21" s="24" t="s">
        <v>142</v>
      </c>
      <c r="G21" s="24" t="s">
        <v>143</v>
      </c>
      <c r="H21" s="23" t="s">
        <v>79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3">
        <v>21.0</v>
      </c>
      <c r="B22" s="3" t="s">
        <v>53</v>
      </c>
      <c r="C22" s="3" t="s">
        <v>144</v>
      </c>
      <c r="D22" s="3" t="s">
        <v>7</v>
      </c>
      <c r="E22" s="22" t="s">
        <v>76</v>
      </c>
      <c r="F22" s="3" t="s">
        <v>145</v>
      </c>
      <c r="G22" s="3" t="s">
        <v>146</v>
      </c>
      <c r="H22" s="23" t="s">
        <v>79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24">
        <v>22.0</v>
      </c>
      <c r="B23" s="24" t="s">
        <v>55</v>
      </c>
      <c r="C23" s="24" t="s">
        <v>147</v>
      </c>
      <c r="D23" s="24" t="s">
        <v>13</v>
      </c>
      <c r="E23" s="25" t="s">
        <v>85</v>
      </c>
      <c r="F23" s="24" t="s">
        <v>148</v>
      </c>
      <c r="G23" s="28" t="s">
        <v>149</v>
      </c>
      <c r="H23" s="23" t="s">
        <v>79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3">
        <v>23.0</v>
      </c>
      <c r="B24" s="3" t="s">
        <v>57</v>
      </c>
      <c r="C24" s="3" t="s">
        <v>150</v>
      </c>
      <c r="D24" s="3" t="s">
        <v>13</v>
      </c>
      <c r="E24" s="22" t="s">
        <v>85</v>
      </c>
      <c r="F24" s="3" t="s">
        <v>151</v>
      </c>
      <c r="G24" s="26" t="s">
        <v>152</v>
      </c>
      <c r="H24" s="23" t="s">
        <v>79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</row>
  </sheetData>
  <autoFilter ref="$A$1:$G$24">
    <sortState ref="A1:G24">
      <sortCondition ref="A1:A24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4" width="18.13"/>
    <col customWidth="1" min="7" max="7" width="16.13"/>
  </cols>
  <sheetData>
    <row r="1">
      <c r="A1" s="29" t="s">
        <v>153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1"/>
      <c r="B3" s="15" t="s">
        <v>154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1"/>
      <c r="B4" s="32" t="s">
        <v>70</v>
      </c>
      <c r="C4" s="33" t="s">
        <v>155</v>
      </c>
      <c r="D4" s="34"/>
      <c r="E4" s="34"/>
      <c r="F4" s="35"/>
      <c r="G4" s="32" t="s">
        <v>156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1"/>
      <c r="B5" s="36"/>
      <c r="C5" s="33">
        <v>1.0</v>
      </c>
      <c r="D5" s="35"/>
      <c r="E5" s="33">
        <v>2.0</v>
      </c>
      <c r="F5" s="35"/>
      <c r="G5" s="36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1"/>
      <c r="B6" s="37"/>
      <c r="C6" s="38" t="s">
        <v>70</v>
      </c>
      <c r="D6" s="38" t="s">
        <v>3</v>
      </c>
      <c r="E6" s="38" t="s">
        <v>70</v>
      </c>
      <c r="F6" s="38" t="s">
        <v>3</v>
      </c>
      <c r="G6" s="37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1"/>
      <c r="B7" s="39" t="s">
        <v>157</v>
      </c>
      <c r="C7" s="39" t="s">
        <v>55</v>
      </c>
      <c r="D7" s="39" t="s">
        <v>13</v>
      </c>
      <c r="E7" s="39" t="s">
        <v>57</v>
      </c>
      <c r="F7" s="39" t="s">
        <v>13</v>
      </c>
      <c r="G7" s="39" t="s">
        <v>34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1"/>
      <c r="B8" s="39" t="s">
        <v>158</v>
      </c>
      <c r="C8" s="39" t="s">
        <v>48</v>
      </c>
      <c r="D8" s="39" t="s">
        <v>39</v>
      </c>
      <c r="E8" s="39" t="s">
        <v>50</v>
      </c>
      <c r="F8" s="39" t="s">
        <v>52</v>
      </c>
      <c r="G8" s="39" t="s">
        <v>159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1"/>
      <c r="B9" s="39" t="s">
        <v>160</v>
      </c>
      <c r="C9" s="39" t="s">
        <v>157</v>
      </c>
      <c r="D9" s="39" t="s">
        <v>34</v>
      </c>
      <c r="E9" s="39" t="s">
        <v>46</v>
      </c>
      <c r="F9" s="39" t="s">
        <v>34</v>
      </c>
      <c r="G9" s="39" t="s">
        <v>161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1"/>
      <c r="B10" s="39" t="s">
        <v>162</v>
      </c>
      <c r="C10" s="39" t="s">
        <v>158</v>
      </c>
      <c r="D10" s="39" t="s">
        <v>159</v>
      </c>
      <c r="E10" s="39" t="s">
        <v>37</v>
      </c>
      <c r="F10" s="39" t="s">
        <v>39</v>
      </c>
      <c r="G10" s="39" t="s">
        <v>13</v>
      </c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1"/>
      <c r="B11" s="39" t="s">
        <v>163</v>
      </c>
      <c r="C11" s="39" t="s">
        <v>160</v>
      </c>
      <c r="D11" s="39" t="s">
        <v>161</v>
      </c>
      <c r="E11" s="39" t="s">
        <v>162</v>
      </c>
      <c r="F11" s="39" t="s">
        <v>13</v>
      </c>
      <c r="G11" s="39" t="s">
        <v>60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1"/>
      <c r="B12" s="39" t="s">
        <v>164</v>
      </c>
      <c r="C12" s="39" t="s">
        <v>163</v>
      </c>
      <c r="D12" s="39" t="s">
        <v>60</v>
      </c>
      <c r="E12" s="39" t="s">
        <v>53</v>
      </c>
      <c r="F12" s="39" t="s">
        <v>7</v>
      </c>
      <c r="G12" s="40" t="s">
        <v>60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1"/>
      <c r="B13" s="39" t="s">
        <v>165</v>
      </c>
      <c r="C13" s="39" t="s">
        <v>164</v>
      </c>
      <c r="D13" s="39" t="s">
        <v>60</v>
      </c>
      <c r="E13" s="39" t="s">
        <v>44</v>
      </c>
      <c r="F13" s="39" t="s">
        <v>7</v>
      </c>
      <c r="G13" s="40" t="s">
        <v>60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1"/>
      <c r="B14" s="39" t="s">
        <v>166</v>
      </c>
      <c r="C14" s="39" t="s">
        <v>165</v>
      </c>
      <c r="D14" s="39" t="s">
        <v>60</v>
      </c>
      <c r="E14" s="39" t="s">
        <v>42</v>
      </c>
      <c r="F14" s="39" t="s">
        <v>7</v>
      </c>
      <c r="G14" s="40" t="s">
        <v>60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1"/>
      <c r="B15" s="39" t="s">
        <v>167</v>
      </c>
      <c r="C15" s="39" t="s">
        <v>166</v>
      </c>
      <c r="D15" s="39" t="s">
        <v>60</v>
      </c>
      <c r="E15" s="39" t="s">
        <v>40</v>
      </c>
      <c r="F15" s="39" t="s">
        <v>7</v>
      </c>
      <c r="G15" s="40" t="s">
        <v>60</v>
      </c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1"/>
      <c r="B16" s="39" t="s">
        <v>168</v>
      </c>
      <c r="C16" s="39" t="s">
        <v>167</v>
      </c>
      <c r="D16" s="39" t="s">
        <v>60</v>
      </c>
      <c r="E16" s="39" t="s">
        <v>35</v>
      </c>
      <c r="F16" s="39" t="s">
        <v>7</v>
      </c>
      <c r="G16" s="40" t="s">
        <v>60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1"/>
      <c r="B17" s="15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0"/>
      <c r="B18" s="41" t="s">
        <v>169</v>
      </c>
      <c r="C18" s="17"/>
      <c r="D18" s="17"/>
      <c r="E18" s="17"/>
      <c r="F18" s="17"/>
      <c r="G18" s="17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0"/>
      <c r="B19" s="32" t="s">
        <v>70</v>
      </c>
      <c r="C19" s="33" t="s">
        <v>155</v>
      </c>
      <c r="D19" s="34"/>
      <c r="E19" s="34"/>
      <c r="F19" s="35"/>
      <c r="G19" s="32" t="s">
        <v>156</v>
      </c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0"/>
      <c r="B20" s="36"/>
      <c r="C20" s="33">
        <v>1.0</v>
      </c>
      <c r="D20" s="35"/>
      <c r="E20" s="33">
        <v>2.0</v>
      </c>
      <c r="F20" s="35"/>
      <c r="G20" s="36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0"/>
      <c r="B21" s="37"/>
      <c r="C21" s="38" t="s">
        <v>70</v>
      </c>
      <c r="D21" s="38" t="s">
        <v>3</v>
      </c>
      <c r="E21" s="38" t="s">
        <v>70</v>
      </c>
      <c r="F21" s="38" t="s">
        <v>3</v>
      </c>
      <c r="G21" s="37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0"/>
      <c r="B22" s="42" t="s">
        <v>170</v>
      </c>
      <c r="C22" s="43" t="s">
        <v>26</v>
      </c>
      <c r="D22" s="43" t="s">
        <v>10</v>
      </c>
      <c r="E22" s="43" t="s">
        <v>30</v>
      </c>
      <c r="F22" s="43" t="s">
        <v>10</v>
      </c>
      <c r="G22" s="43" t="s">
        <v>52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0"/>
      <c r="B23" s="39" t="s">
        <v>171</v>
      </c>
      <c r="C23" s="39" t="s">
        <v>28</v>
      </c>
      <c r="D23" s="39" t="s">
        <v>19</v>
      </c>
      <c r="E23" s="39" t="s">
        <v>170</v>
      </c>
      <c r="F23" s="39" t="s">
        <v>52</v>
      </c>
      <c r="G23" s="39" t="s">
        <v>39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0"/>
      <c r="B24" s="39" t="s">
        <v>172</v>
      </c>
      <c r="C24" s="39" t="s">
        <v>32</v>
      </c>
      <c r="D24" s="39" t="s">
        <v>34</v>
      </c>
      <c r="E24" s="39" t="s">
        <v>171</v>
      </c>
      <c r="F24" s="39" t="s">
        <v>39</v>
      </c>
      <c r="G24" s="39" t="s">
        <v>161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39" t="s">
        <v>173</v>
      </c>
      <c r="C25" s="39" t="s">
        <v>22</v>
      </c>
      <c r="D25" s="39" t="s">
        <v>7</v>
      </c>
      <c r="E25" s="39" t="s">
        <v>172</v>
      </c>
      <c r="F25" s="39" t="s">
        <v>161</v>
      </c>
      <c r="G25" s="40" t="s">
        <v>161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39" t="s">
        <v>174</v>
      </c>
      <c r="C26" s="39" t="s">
        <v>24</v>
      </c>
      <c r="D26" s="39" t="s">
        <v>7</v>
      </c>
      <c r="E26" s="39" t="s">
        <v>173</v>
      </c>
      <c r="F26" s="39" t="s">
        <v>161</v>
      </c>
      <c r="G26" s="40" t="s">
        <v>161</v>
      </c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39" t="s">
        <v>175</v>
      </c>
      <c r="C27" s="39" t="s">
        <v>20</v>
      </c>
      <c r="D27" s="39" t="s">
        <v>7</v>
      </c>
      <c r="E27" s="39" t="s">
        <v>174</v>
      </c>
      <c r="F27" s="39" t="s">
        <v>161</v>
      </c>
      <c r="G27" s="40" t="s">
        <v>161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15" t="s">
        <v>176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32" t="s">
        <v>70</v>
      </c>
      <c r="C30" s="33" t="s">
        <v>155</v>
      </c>
      <c r="D30" s="34"/>
      <c r="E30" s="34"/>
      <c r="F30" s="35"/>
      <c r="G30" s="32" t="s">
        <v>156</v>
      </c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6"/>
      <c r="C31" s="33">
        <v>1.0</v>
      </c>
      <c r="D31" s="35"/>
      <c r="E31" s="33">
        <v>2.0</v>
      </c>
      <c r="F31" s="35"/>
      <c r="G31" s="36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7"/>
      <c r="C32" s="38" t="s">
        <v>70</v>
      </c>
      <c r="D32" s="38" t="s">
        <v>3</v>
      </c>
      <c r="E32" s="38" t="s">
        <v>70</v>
      </c>
      <c r="F32" s="38" t="s">
        <v>3</v>
      </c>
      <c r="G32" s="37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39" t="s">
        <v>177</v>
      </c>
      <c r="C33" s="39" t="s">
        <v>17</v>
      </c>
      <c r="D33" s="39" t="s">
        <v>19</v>
      </c>
      <c r="E33" s="39" t="s">
        <v>14</v>
      </c>
      <c r="F33" s="39" t="s">
        <v>16</v>
      </c>
      <c r="G33" s="39" t="s">
        <v>39</v>
      </c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39" t="s">
        <v>178</v>
      </c>
      <c r="C34" s="39" t="s">
        <v>11</v>
      </c>
      <c r="D34" s="39" t="s">
        <v>13</v>
      </c>
      <c r="E34" s="39" t="s">
        <v>177</v>
      </c>
      <c r="F34" s="39" t="s">
        <v>39</v>
      </c>
      <c r="G34" s="39" t="s">
        <v>34</v>
      </c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39" t="s">
        <v>179</v>
      </c>
      <c r="C35" s="39" t="s">
        <v>8</v>
      </c>
      <c r="D35" s="39" t="s">
        <v>10</v>
      </c>
      <c r="E35" s="39" t="s">
        <v>178</v>
      </c>
      <c r="F35" s="39" t="s">
        <v>34</v>
      </c>
      <c r="G35" s="40" t="s">
        <v>34</v>
      </c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39" t="s">
        <v>180</v>
      </c>
      <c r="C36" s="39" t="s">
        <v>5</v>
      </c>
      <c r="D36" s="39" t="s">
        <v>7</v>
      </c>
      <c r="E36" s="39" t="s">
        <v>179</v>
      </c>
      <c r="F36" s="39" t="s">
        <v>34</v>
      </c>
      <c r="G36" s="40" t="s">
        <v>34</v>
      </c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15" t="s">
        <v>181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32" t="s">
        <v>70</v>
      </c>
      <c r="C39" s="33" t="s">
        <v>155</v>
      </c>
      <c r="D39" s="34"/>
      <c r="E39" s="34"/>
      <c r="F39" s="35"/>
      <c r="G39" s="32" t="s">
        <v>156</v>
      </c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6"/>
      <c r="C40" s="33">
        <v>1.0</v>
      </c>
      <c r="D40" s="35"/>
      <c r="E40" s="33">
        <v>2.0</v>
      </c>
      <c r="F40" s="35"/>
      <c r="G40" s="36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7"/>
      <c r="C41" s="38" t="s">
        <v>70</v>
      </c>
      <c r="D41" s="38" t="s">
        <v>3</v>
      </c>
      <c r="E41" s="38" t="s">
        <v>70</v>
      </c>
      <c r="F41" s="38" t="s">
        <v>3</v>
      </c>
      <c r="G41" s="37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9" t="s">
        <v>182</v>
      </c>
      <c r="C42" s="39" t="s">
        <v>168</v>
      </c>
      <c r="D42" s="39" t="s">
        <v>60</v>
      </c>
      <c r="E42" s="39" t="s">
        <v>175</v>
      </c>
      <c r="F42" s="39" t="s">
        <v>161</v>
      </c>
      <c r="G42" s="39" t="s">
        <v>183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44" t="s">
        <v>184</v>
      </c>
      <c r="C43" s="44" t="s">
        <v>182</v>
      </c>
      <c r="D43" s="44" t="s">
        <v>183</v>
      </c>
      <c r="E43" s="44" t="s">
        <v>180</v>
      </c>
      <c r="F43" s="44" t="s">
        <v>34</v>
      </c>
      <c r="G43" s="45" t="s">
        <v>183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46"/>
      <c r="C44" s="46"/>
      <c r="D44" s="46"/>
      <c r="E44" s="46"/>
      <c r="F44" s="46"/>
      <c r="G44" s="47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14"/>
      <c r="C45" s="14"/>
      <c r="D45" s="14"/>
      <c r="E45" s="14"/>
      <c r="F45" s="14"/>
      <c r="G45" s="13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  <row r="1002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</row>
    <row r="1003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</row>
    <row r="1004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</row>
    <row r="1005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</row>
    <row r="1006">
      <c r="A1006" s="30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</row>
  </sheetData>
  <mergeCells count="20">
    <mergeCell ref="C40:D40"/>
    <mergeCell ref="E40:F40"/>
    <mergeCell ref="B39:B41"/>
    <mergeCell ref="C39:F39"/>
    <mergeCell ref="G4:G6"/>
    <mergeCell ref="B4:B6"/>
    <mergeCell ref="G19:G21"/>
    <mergeCell ref="G30:G32"/>
    <mergeCell ref="C31:D31"/>
    <mergeCell ref="E31:F31"/>
    <mergeCell ref="B30:B32"/>
    <mergeCell ref="C30:F30"/>
    <mergeCell ref="E5:F5"/>
    <mergeCell ref="C5:D5"/>
    <mergeCell ref="C4:F4"/>
    <mergeCell ref="C20:D20"/>
    <mergeCell ref="C19:F19"/>
    <mergeCell ref="E20:F20"/>
    <mergeCell ref="B19:B21"/>
    <mergeCell ref="G39:G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0.0"/>
    <col customWidth="1" min="5" max="5" width="25.63"/>
    <col customWidth="1" min="7" max="7" width="22.75"/>
  </cols>
  <sheetData>
    <row r="1">
      <c r="A1" s="48" t="s">
        <v>185</v>
      </c>
      <c r="B1" s="48" t="s">
        <v>70</v>
      </c>
      <c r="C1" s="48" t="s">
        <v>186</v>
      </c>
      <c r="D1" s="48" t="s">
        <v>72</v>
      </c>
      <c r="E1" s="48" t="s">
        <v>71</v>
      </c>
      <c r="F1" s="48" t="s">
        <v>73</v>
      </c>
      <c r="G1" s="48" t="s">
        <v>187</v>
      </c>
      <c r="H1" s="48" t="s">
        <v>188</v>
      </c>
    </row>
    <row r="2">
      <c r="A2" s="49" t="s">
        <v>189</v>
      </c>
      <c r="B2" s="50" t="s">
        <v>190</v>
      </c>
      <c r="C2" s="50" t="s">
        <v>190</v>
      </c>
      <c r="D2" s="50" t="s">
        <v>190</v>
      </c>
      <c r="E2" s="50" t="s">
        <v>190</v>
      </c>
      <c r="F2" s="50" t="s">
        <v>190</v>
      </c>
      <c r="G2" s="50" t="s">
        <v>190</v>
      </c>
      <c r="H2" s="50" t="s">
        <v>190</v>
      </c>
    </row>
    <row r="3">
      <c r="A3" s="51" t="s">
        <v>191</v>
      </c>
      <c r="B3" s="52" t="s">
        <v>46</v>
      </c>
      <c r="C3" s="53">
        <v>875.0</v>
      </c>
      <c r="D3" s="52" t="s">
        <v>34</v>
      </c>
      <c r="E3" s="54" t="s">
        <v>114</v>
      </c>
      <c r="F3" s="55" t="s">
        <v>116</v>
      </c>
      <c r="G3" s="55" t="s">
        <v>117</v>
      </c>
      <c r="H3" s="56"/>
    </row>
    <row r="4">
      <c r="A4" s="57" t="s">
        <v>192</v>
      </c>
      <c r="B4" s="58" t="s">
        <v>57</v>
      </c>
      <c r="C4" s="50">
        <v>503.0</v>
      </c>
      <c r="D4" s="58" t="s">
        <v>13</v>
      </c>
      <c r="E4" s="59" t="s">
        <v>134</v>
      </c>
      <c r="F4" s="60" t="s">
        <v>193</v>
      </c>
      <c r="G4" s="60" t="s">
        <v>194</v>
      </c>
      <c r="H4" s="50" t="s">
        <v>195</v>
      </c>
    </row>
    <row r="5">
      <c r="A5" s="61"/>
      <c r="B5" s="52" t="s">
        <v>55</v>
      </c>
      <c r="C5" s="53">
        <v>470.0</v>
      </c>
      <c r="D5" s="52" t="s">
        <v>13</v>
      </c>
      <c r="E5" s="54" t="s">
        <v>196</v>
      </c>
      <c r="F5" s="55" t="s">
        <v>135</v>
      </c>
      <c r="G5" s="55" t="s">
        <v>197</v>
      </c>
      <c r="H5" s="53" t="s">
        <v>198</v>
      </c>
    </row>
    <row r="6">
      <c r="A6" s="62"/>
      <c r="B6" s="58" t="s">
        <v>37</v>
      </c>
      <c r="C6" s="50">
        <v>126.0</v>
      </c>
      <c r="D6" s="58" t="s">
        <v>39</v>
      </c>
      <c r="E6" s="59" t="s">
        <v>84</v>
      </c>
      <c r="F6" s="60" t="s">
        <v>199</v>
      </c>
      <c r="G6" s="60" t="s">
        <v>200</v>
      </c>
      <c r="H6" s="50" t="s">
        <v>195</v>
      </c>
    </row>
    <row r="7">
      <c r="A7" s="63"/>
      <c r="B7" s="52" t="s">
        <v>48</v>
      </c>
      <c r="C7" s="53">
        <v>120.0</v>
      </c>
      <c r="D7" s="52" t="s">
        <v>39</v>
      </c>
      <c r="E7" s="54" t="s">
        <v>201</v>
      </c>
      <c r="F7" s="55" t="s">
        <v>202</v>
      </c>
      <c r="G7" s="55" t="s">
        <v>203</v>
      </c>
      <c r="H7" s="53" t="s">
        <v>204</v>
      </c>
    </row>
    <row r="8">
      <c r="A8" s="64"/>
      <c r="B8" s="58" t="s">
        <v>50</v>
      </c>
      <c r="C8" s="50">
        <v>14.0</v>
      </c>
      <c r="D8" s="58" t="s">
        <v>52</v>
      </c>
      <c r="E8" s="59" t="s">
        <v>205</v>
      </c>
      <c r="F8" s="60" t="s">
        <v>206</v>
      </c>
      <c r="G8" s="60" t="s">
        <v>207</v>
      </c>
      <c r="H8" s="65"/>
    </row>
    <row r="9">
      <c r="A9" s="63"/>
      <c r="B9" s="52" t="s">
        <v>35</v>
      </c>
      <c r="C9" s="53">
        <v>2.0</v>
      </c>
      <c r="D9" s="52" t="s">
        <v>7</v>
      </c>
      <c r="E9" s="54" t="s">
        <v>208</v>
      </c>
      <c r="F9" s="55" t="s">
        <v>209</v>
      </c>
      <c r="G9" s="55" t="s">
        <v>210</v>
      </c>
      <c r="H9" s="53" t="s">
        <v>211</v>
      </c>
    </row>
    <row r="10">
      <c r="A10" s="64"/>
      <c r="B10" s="58" t="s">
        <v>40</v>
      </c>
      <c r="C10" s="50">
        <v>2.0</v>
      </c>
      <c r="D10" s="58" t="s">
        <v>7</v>
      </c>
      <c r="E10" s="59" t="s">
        <v>212</v>
      </c>
      <c r="F10" s="60" t="s">
        <v>213</v>
      </c>
      <c r="G10" s="60" t="s">
        <v>214</v>
      </c>
      <c r="H10" s="50" t="s">
        <v>211</v>
      </c>
    </row>
    <row r="11">
      <c r="A11" s="61"/>
      <c r="B11" s="52" t="s">
        <v>42</v>
      </c>
      <c r="C11" s="53">
        <v>2.0</v>
      </c>
      <c r="D11" s="52" t="s">
        <v>7</v>
      </c>
      <c r="E11" s="54" t="s">
        <v>215</v>
      </c>
      <c r="F11" s="55" t="s">
        <v>216</v>
      </c>
      <c r="G11" s="55" t="s">
        <v>217</v>
      </c>
      <c r="H11" s="53" t="s">
        <v>211</v>
      </c>
    </row>
    <row r="12">
      <c r="A12" s="62"/>
      <c r="B12" s="58" t="s">
        <v>44</v>
      </c>
      <c r="C12" s="50">
        <v>2.0</v>
      </c>
      <c r="D12" s="58" t="s">
        <v>7</v>
      </c>
      <c r="E12" s="59" t="s">
        <v>218</v>
      </c>
      <c r="F12" s="60" t="s">
        <v>219</v>
      </c>
      <c r="G12" s="60" t="s">
        <v>220</v>
      </c>
      <c r="H12" s="50" t="s">
        <v>211</v>
      </c>
    </row>
    <row r="13">
      <c r="A13" s="61"/>
      <c r="B13" s="52" t="s">
        <v>53</v>
      </c>
      <c r="C13" s="53">
        <v>2.0</v>
      </c>
      <c r="D13" s="52" t="s">
        <v>7</v>
      </c>
      <c r="E13" s="54" t="s">
        <v>221</v>
      </c>
      <c r="F13" s="55" t="s">
        <v>222</v>
      </c>
      <c r="G13" s="55" t="s">
        <v>223</v>
      </c>
      <c r="H13" s="53" t="s">
        <v>211</v>
      </c>
    </row>
    <row r="14">
      <c r="A14" s="66" t="s">
        <v>190</v>
      </c>
      <c r="B14" s="50" t="s">
        <v>190</v>
      </c>
      <c r="C14" s="50" t="s">
        <v>190</v>
      </c>
      <c r="D14" s="50" t="s">
        <v>190</v>
      </c>
      <c r="E14" s="50" t="s">
        <v>190</v>
      </c>
      <c r="F14" s="50" t="s">
        <v>190</v>
      </c>
      <c r="G14" s="50" t="s">
        <v>190</v>
      </c>
      <c r="H14" s="50" t="s">
        <v>190</v>
      </c>
    </row>
    <row r="15">
      <c r="A15" s="67" t="s">
        <v>224</v>
      </c>
      <c r="B15" s="52" t="s">
        <v>32</v>
      </c>
      <c r="C15" s="53">
        <v>661.0</v>
      </c>
      <c r="D15" s="52" t="s">
        <v>34</v>
      </c>
      <c r="E15" s="54" t="s">
        <v>225</v>
      </c>
      <c r="F15" s="55" t="s">
        <v>226</v>
      </c>
      <c r="G15" s="55" t="s">
        <v>227</v>
      </c>
      <c r="H15" s="56"/>
    </row>
    <row r="16">
      <c r="A16" s="66" t="s">
        <v>191</v>
      </c>
      <c r="B16" s="58" t="s">
        <v>28</v>
      </c>
      <c r="C16" s="50">
        <v>62.0</v>
      </c>
      <c r="D16" s="58" t="s">
        <v>19</v>
      </c>
      <c r="E16" s="59" t="s">
        <v>228</v>
      </c>
      <c r="F16" s="60" t="s">
        <v>229</v>
      </c>
      <c r="G16" s="60" t="s">
        <v>230</v>
      </c>
      <c r="H16" s="65"/>
    </row>
    <row r="17">
      <c r="A17" s="68" t="s">
        <v>231</v>
      </c>
      <c r="B17" s="52" t="s">
        <v>26</v>
      </c>
      <c r="C17" s="53">
        <v>3.0</v>
      </c>
      <c r="D17" s="52" t="s">
        <v>10</v>
      </c>
      <c r="E17" s="54" t="s">
        <v>232</v>
      </c>
      <c r="F17" s="55" t="s">
        <v>233</v>
      </c>
      <c r="G17" s="55" t="s">
        <v>234</v>
      </c>
      <c r="H17" s="53" t="s">
        <v>195</v>
      </c>
    </row>
    <row r="18">
      <c r="A18" s="64"/>
      <c r="B18" s="58" t="s">
        <v>30</v>
      </c>
      <c r="C18" s="50">
        <v>3.0</v>
      </c>
      <c r="D18" s="58" t="s">
        <v>10</v>
      </c>
      <c r="E18" s="59" t="s">
        <v>235</v>
      </c>
      <c r="F18" s="60" t="s">
        <v>236</v>
      </c>
      <c r="G18" s="60" t="s">
        <v>237</v>
      </c>
      <c r="H18" s="50" t="s">
        <v>238</v>
      </c>
    </row>
    <row r="19">
      <c r="A19" s="63"/>
      <c r="B19" s="52" t="s">
        <v>20</v>
      </c>
      <c r="C19" s="53">
        <v>2.0</v>
      </c>
      <c r="D19" s="52" t="s">
        <v>7</v>
      </c>
      <c r="E19" s="54" t="s">
        <v>239</v>
      </c>
      <c r="F19" s="55" t="s">
        <v>240</v>
      </c>
      <c r="G19" s="55" t="s">
        <v>241</v>
      </c>
      <c r="H19" s="53" t="s">
        <v>211</v>
      </c>
    </row>
    <row r="20">
      <c r="A20" s="62"/>
      <c r="B20" s="58" t="s">
        <v>22</v>
      </c>
      <c r="C20" s="50">
        <v>2.0</v>
      </c>
      <c r="D20" s="58" t="s">
        <v>7</v>
      </c>
      <c r="E20" s="59" t="s">
        <v>242</v>
      </c>
      <c r="F20" s="60" t="s">
        <v>243</v>
      </c>
      <c r="G20" s="60" t="s">
        <v>244</v>
      </c>
      <c r="H20" s="50" t="s">
        <v>211</v>
      </c>
    </row>
    <row r="21">
      <c r="A21" s="61"/>
      <c r="B21" s="52" t="s">
        <v>24</v>
      </c>
      <c r="C21" s="53">
        <v>2.0</v>
      </c>
      <c r="D21" s="52" t="s">
        <v>7</v>
      </c>
      <c r="E21" s="54" t="s">
        <v>245</v>
      </c>
      <c r="F21" s="55" t="s">
        <v>246</v>
      </c>
      <c r="G21" s="55" t="s">
        <v>247</v>
      </c>
      <c r="H21" s="53" t="s">
        <v>211</v>
      </c>
    </row>
    <row r="22">
      <c r="A22" s="66" t="s">
        <v>190</v>
      </c>
      <c r="B22" s="50" t="s">
        <v>190</v>
      </c>
      <c r="C22" s="50" t="s">
        <v>190</v>
      </c>
      <c r="D22" s="50" t="s">
        <v>190</v>
      </c>
      <c r="E22" s="50" t="s">
        <v>190</v>
      </c>
      <c r="F22" s="50" t="s">
        <v>190</v>
      </c>
      <c r="G22" s="50" t="s">
        <v>190</v>
      </c>
      <c r="H22" s="50" t="s">
        <v>190</v>
      </c>
    </row>
    <row r="23">
      <c r="A23" s="67" t="s">
        <v>248</v>
      </c>
      <c r="B23" s="52" t="s">
        <v>11</v>
      </c>
      <c r="C23" s="53">
        <v>299.0</v>
      </c>
      <c r="D23" s="52" t="s">
        <v>13</v>
      </c>
      <c r="E23" s="54" t="s">
        <v>249</v>
      </c>
      <c r="F23" s="55" t="s">
        <v>250</v>
      </c>
      <c r="G23" s="55" t="s">
        <v>251</v>
      </c>
      <c r="H23" s="56"/>
    </row>
    <row r="24">
      <c r="A24" s="66" t="s">
        <v>191</v>
      </c>
      <c r="B24" s="58" t="s">
        <v>17</v>
      </c>
      <c r="C24" s="50">
        <v>34.0</v>
      </c>
      <c r="D24" s="58" t="s">
        <v>19</v>
      </c>
      <c r="E24" s="59" t="s">
        <v>252</v>
      </c>
      <c r="F24" s="60" t="s">
        <v>253</v>
      </c>
      <c r="G24" s="60" t="s">
        <v>254</v>
      </c>
      <c r="H24" s="65"/>
    </row>
    <row r="25">
      <c r="A25" s="68" t="s">
        <v>255</v>
      </c>
      <c r="B25" s="52" t="s">
        <v>14</v>
      </c>
      <c r="C25" s="53">
        <v>28.0</v>
      </c>
      <c r="D25" s="52" t="s">
        <v>16</v>
      </c>
      <c r="E25" s="54" t="s">
        <v>256</v>
      </c>
      <c r="F25" s="55" t="s">
        <v>257</v>
      </c>
      <c r="G25" s="55" t="s">
        <v>258</v>
      </c>
      <c r="H25" s="56"/>
    </row>
    <row r="26">
      <c r="A26" s="62"/>
      <c r="B26" s="58" t="s">
        <v>8</v>
      </c>
      <c r="C26" s="50">
        <v>3.0</v>
      </c>
      <c r="D26" s="58" t="s">
        <v>10</v>
      </c>
      <c r="E26" s="59" t="s">
        <v>259</v>
      </c>
      <c r="F26" s="60" t="s">
        <v>260</v>
      </c>
      <c r="G26" s="60" t="s">
        <v>261</v>
      </c>
      <c r="H26" s="65"/>
    </row>
    <row r="27">
      <c r="A27" s="61"/>
      <c r="B27" s="52" t="s">
        <v>5</v>
      </c>
      <c r="C27" s="53">
        <v>2.0</v>
      </c>
      <c r="D27" s="52" t="s">
        <v>7</v>
      </c>
      <c r="E27" s="54" t="s">
        <v>262</v>
      </c>
      <c r="F27" s="55" t="s">
        <v>263</v>
      </c>
      <c r="G27" s="55" t="s">
        <v>264</v>
      </c>
      <c r="H27" s="53" t="s">
        <v>211</v>
      </c>
    </row>
  </sheetData>
  <drawing r:id="rId1"/>
</worksheet>
</file>